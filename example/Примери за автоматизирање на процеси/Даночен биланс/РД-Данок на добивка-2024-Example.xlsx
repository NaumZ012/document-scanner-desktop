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3040" windowHeight="8904"/>
  </bookViews>
  <sheets>
    <sheet name="Даночен биланс 2024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a">'[2]Statistics {pbc}'!$A$13:$G$13,'[2]Statistics {pbc}'!$A$22:$G$26</definedName>
    <definedName name="Aging_percent">'[3]Statistics {pbc}'!$A$13:$G$13,'[3]Statistics {pbc}'!$A$22:$G$26</definedName>
    <definedName name="allowance">'[4]Statistics {pbc}'!$A$2:$G$2,'[4]Statistics {pbc}'!$A$9:$G$9</definedName>
    <definedName name="allowance_sales">'[4]Statistics {pbc}'!$A$2:$G$2,'[4]Statistics {pbc}'!$A$10:$G$10</definedName>
    <definedName name="Allowance_to_Receivables">'[3]Statistics {pbc}'!$A$2:$G$2,'[3]Statistics {pbc}'!$A$9:$G$9</definedName>
    <definedName name="Allowance_to_Sales">'[3]Statistics {pbc}'!$A$2:$G$2,'[3]Statistics {pbc}'!$A$10:$G$10</definedName>
    <definedName name="AR_Balance">#REF!</definedName>
    <definedName name="AS2DocOpenMode" hidden="1">"AS2DocumentEdit"</definedName>
    <definedName name="CY_Disc_mnth">#REF!</definedName>
    <definedName name="CY_Disc_pd">#REF!</definedName>
    <definedName name="CY_Discounts">#REF!</definedName>
    <definedName name="CY_Ret_mnth">#REF!</definedName>
    <definedName name="CY_Ret_pd">#REF!</definedName>
    <definedName name="CY_Returns">#REF!</definedName>
    <definedName name="Days_in_Receivables">'[3]Statistics {pbc}'!$A$2:$G$2,'[3]Statistics {pbc}'!$A$8:$G$8</definedName>
    <definedName name="days_receivables">'[4]Statistics {pbc}'!$A$2:$G$2,'[4]Statistics {pbc}'!$A$8:$G$8</definedName>
    <definedName name="Debt_Exp_to_Sales">'[3]Statistics {pbc}'!$A$2:$G$2,'[3]Statistics {pbc}'!$A$11:$G$11</definedName>
    <definedName name="Disagg_AR_Balance">#REF!</definedName>
    <definedName name="Disaggregations_SRD">#REF!</definedName>
    <definedName name="Disc_Allowance">#REF!</definedName>
    <definedName name="FinancialStatementArea_ID_LIST">[5]FinancialStatementArea!$A$3:$A$9999</definedName>
    <definedName name="info">[6]Receiv_confirm_control!$DL$527:$DO$613</definedName>
    <definedName name="interval">'[7]Allow {pbc}'!#REF!</definedName>
    <definedName name="Interval_cutoff">'[8]Allow {pbc}'!#REF!</definedName>
    <definedName name="j_cut">'[7]Allow {pbc}'!#REF!</definedName>
    <definedName name="J_cutoff">'[8]Allow {pbc}'!#REF!</definedName>
    <definedName name="maja">'[2]Statistics {pbc}'!$A$2:$G$2,'[2]Statistics {pbc}'!$A$9:$G$9</definedName>
    <definedName name="monetart">'[7]Allow {pbc}'!#REF!</definedName>
    <definedName name="Monetary_Precision">'[8]Allow {pbc}'!#REF!</definedName>
    <definedName name="MP_AR_Balance">#REF!</definedName>
    <definedName name="MP_SRD">#REF!</definedName>
    <definedName name="payroll">'[9]Statistics {pbc}'!$A$2:$G$2,'[9]Statistics {pbc}'!$A$10:$G$10</definedName>
    <definedName name="PY_Disc_allow">#REF!</definedName>
    <definedName name="PY_Disc_mnth">#REF!</definedName>
    <definedName name="PY_Disc_pd">#REF!</definedName>
    <definedName name="PY_Discounts">#REF!</definedName>
    <definedName name="PY_Ret_allow">#REF!</definedName>
    <definedName name="PY_Ret_mnth">#REF!</definedName>
    <definedName name="PY_Ret_pd">#REF!</definedName>
    <definedName name="PY_Returns">#REF!</definedName>
    <definedName name="R_Factor_AR_Balance">#REF!</definedName>
    <definedName name="R_Factor_SRD">#REF!</definedName>
    <definedName name="Ret_Allowance">#REF!</definedName>
    <definedName name="text">'[7]120 circ'!#REF!</definedName>
    <definedName name="text2">'[7]120 circ'!#REF!</definedName>
    <definedName name="text3">'[7]120 circ'!#REF!</definedName>
    <definedName name="text4">'[7]120 circ'!#REF!</definedName>
    <definedName name="TextRefCopy1">'[8]120 circ'!#REF!</definedName>
    <definedName name="TextRefCopy2">'[8]120 circ'!#REF!</definedName>
    <definedName name="TextRefCopy3">'[8]120 unanswered'!#REF!</definedName>
    <definedName name="TextRefCopy4">'[8]120 unanswered'!#REF!</definedName>
    <definedName name="TextRefCopy5">#REF!</definedName>
    <definedName name="TextRefCopy8">'[8]120 circ'!#REF!</definedName>
    <definedName name="TextRefCopy9">'[8]120 circ'!#REF!</definedName>
    <definedName name="TextRefCopyRangeCount" hidden="1">6</definedName>
    <definedName name="trend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0" i="2" l="1"/>
  <c r="D50" i="2"/>
  <c r="D11" i="2"/>
  <c r="D49" i="2" s="1"/>
  <c r="D58" i="2" s="1"/>
  <c r="D59" i="2" s="1"/>
  <c r="D65" i="2" s="1"/>
  <c r="D68" i="2" s="1"/>
  <c r="B5" i="2"/>
</calcChain>
</file>

<file path=xl/sharedStrings.xml><?xml version="1.0" encoding="utf-8"?>
<sst xmlns="http://schemas.openxmlformats.org/spreadsheetml/2006/main" count="81" uniqueCount="80">
  <si>
    <t>Тел.   +389 2 6140 901
www.a-ba.mk</t>
  </si>
  <si>
    <t>Ул. 1661 бр.9-50
1000 Скопје
Република Македонија</t>
  </si>
  <si>
    <t>Клиент:</t>
  </si>
  <si>
    <t>Подготвил:</t>
  </si>
  <si>
    <t xml:space="preserve">Проверил: </t>
  </si>
  <si>
    <t>Предмет:</t>
  </si>
  <si>
    <t>Даночен биланс</t>
  </si>
  <si>
    <t>Дата:</t>
  </si>
  <si>
    <t xml:space="preserve">Дата: </t>
  </si>
  <si>
    <t>Период:</t>
  </si>
  <si>
    <t>Тест:</t>
  </si>
  <si>
    <t>Усогласување на ДБ</t>
  </si>
  <si>
    <t>УТВРДУВАЊЕ НА ДАНОК ОД ДОБИВКА НА НЕПРИЗНАЕНИ РАСХОДИ</t>
  </si>
  <si>
    <t>I.</t>
  </si>
  <si>
    <t>Финансиски резултат во Биланс на успех</t>
  </si>
  <si>
    <t>II.</t>
  </si>
  <si>
    <t>Непризнаени расходи за даночни цели (збир од АОП 03 до АОП 29)</t>
  </si>
  <si>
    <t xml:space="preserve">Расходи кои не се поврзани со вршење на дејноста на субјектот односно не се непосреден услов за извршување на дејноста и не се последица од вршењето на дејноста </t>
  </si>
  <si>
    <t xml:space="preserve">Исплатени надоместоци на трошоци и други лични примања од работен однос над утврдениот износ </t>
  </si>
  <si>
    <t xml:space="preserve">Исплатени надоместоци на трошоци на вработените што не се утврдени со член 9 став 1 точка 2 од ЗДД </t>
  </si>
  <si>
    <t xml:space="preserve">Трошоци за организирана исхрана и превоз исплатени над износите утврдени со закон </t>
  </si>
  <si>
    <t>Трошоци за сместување и превоз за невработени лица кои не се документирани согласно член 9 став 1 точка 2 од ЗДД</t>
  </si>
  <si>
    <t>Трошоци за исхрана на вработените кои работат ноќно време, над износите утврдени со закон</t>
  </si>
  <si>
    <t xml:space="preserve">Трошоци по основ на месечни надоместоци на членови на органи на управување над висината утврдена со закон </t>
  </si>
  <si>
    <t>Трошоци по основ на уплатени доброволни придонеси во доброволен пензиски фонд над висината утврдена со закон</t>
  </si>
  <si>
    <t>Трошоци по основ на уплатени премии за осигурување на живот над висината утврдена со закон</t>
  </si>
  <si>
    <t xml:space="preserve">Надоместоци за лица волонтери и за лица ангажирани за вршење на јавни работи над износите утврдени со закон </t>
  </si>
  <si>
    <t xml:space="preserve">Скриени исплати на добивки </t>
  </si>
  <si>
    <t>Кусоци кои не се предизвикани од вонредни настани (кражба, пожар или други природни непогоди)</t>
  </si>
  <si>
    <t xml:space="preserve">Трошоци за репрезентација </t>
  </si>
  <si>
    <t xml:space="preserve">Вкупни трошоци за донации од Законот за донации и спонзорства во јавните дејности, освен износот на донациите за кои се користи данчно ослободување до 5% од вкупниот приход остварен во годината </t>
  </si>
  <si>
    <t>Трошоци за спонзорства направени во согласност со Законот за донации и спонзорства во јавните дејности, над 3% од вкупниот приход остварен во годината</t>
  </si>
  <si>
    <t>Трошоци за донации во спортот согласно член 30-а и 30-б од ЗДД</t>
  </si>
  <si>
    <t xml:space="preserve">Трошоци по основ на камата по кредити кои не се користат за вршење на дејноста на обврзникот </t>
  </si>
  <si>
    <t xml:space="preserve">Осигурителни премии кои ги плаќа работодавачот во корист на членови на органите на управување, и на вработени </t>
  </si>
  <si>
    <t xml:space="preserve">Даноци по задршка (одбивка) исплатени во име на трети лица кои се на товар на трошоците на обврзник </t>
  </si>
  <si>
    <t>Парични и даночни казни, пенали и казнени камати за ненавремена уплата на јавни давачки и на трошоци за присилна наплата</t>
  </si>
  <si>
    <t xml:space="preserve">Исплати на стипендии </t>
  </si>
  <si>
    <t xml:space="preserve">Трошоци на кало, растур, крш и расипување </t>
  </si>
  <si>
    <t xml:space="preserve">Траен отпис на ненаплатени побарувања </t>
  </si>
  <si>
    <t>Трошоци за нето износот на примањата по основ на деловна успешност над износот на кој се пресметани придонеси согласно закон</t>
  </si>
  <si>
    <t xml:space="preserve">Трошоци за практикантска работа нас износот пропишан по закон за практиканство </t>
  </si>
  <si>
    <t>Трошоци за практична обука на ученици и практична настава на студенти во висина над 8.000 мкд</t>
  </si>
  <si>
    <t>Трошоци за амортизација на ревалоризираната вредност на материјални и нематеријални средства</t>
  </si>
  <si>
    <t>Трошоци за амортиација и ревалоризација на материјални и нематеријални средства која е повисока од амортизацијата пресметана на набавната вредност со примена на стапките на пропишаните согласно номенклатура на средствата за амортизација</t>
  </si>
  <si>
    <t>Преостаната сегашна вредност на основните средства кои не се користат, а се амортизираат во целост за кои не е издадена согласност од управата за јавни приходи</t>
  </si>
  <si>
    <t xml:space="preserve">Трошоци за исправка на вредноста на ненаплатени побарувања </t>
  </si>
  <si>
    <t xml:space="preserve">Износ на ненаплатени побарувања од заем </t>
  </si>
  <si>
    <t>Износ на позитивна разлика меѓу расходите кои произлегуваат од трансакција по трансферна цена и расходите кои произлегуваат од таа трансакција по пазарна цена  утврдена по принципот на дофат на рака меѓу поврзани лица</t>
  </si>
  <si>
    <t>Износ на позитивна разлика меѓу приходите кои произлегуваат од трансакција по трансферна цена и приходите кои произлегуваат од таа трансакција по пазарна цена  утврдена по принципот на дофат на рака меѓу поврзани лица</t>
  </si>
  <si>
    <t xml:space="preserve">Износ на дел од камати по заеми кои се добиени од поврзано лице кое не е банка или друга овластена кредитна институција, кој го надминува износот кој би се остварил доколку се работи за неповрзани лица </t>
  </si>
  <si>
    <t xml:space="preserve">Износ на затезни камати кои произлегуваат од односите со поврзано лице кое не е банка или друга овластена кредитна институција </t>
  </si>
  <si>
    <t xml:space="preserve">Износ на камати на заеми добиени од содружници или акционери – нерезиденти со најмалку од 25% учество во капиталот </t>
  </si>
  <si>
    <t xml:space="preserve">Други усогласувања на расходи </t>
  </si>
  <si>
    <t>III.</t>
  </si>
  <si>
    <t xml:space="preserve">Даночна основа (I+II) </t>
  </si>
  <si>
    <t>IV.</t>
  </si>
  <si>
    <t xml:space="preserve">Намалување на даночна основа (АОП 32+АОП33+АОП34+АОП35+АОП36) </t>
  </si>
  <si>
    <t xml:space="preserve">Износ на наплатени побарувања за кои во претходниот период е зголемена даночната основа </t>
  </si>
  <si>
    <t xml:space="preserve">Износ на вратен дел од заем за кои во претходните даночни периоди било извршено зголемување на даночната основа </t>
  </si>
  <si>
    <t>Износ на трошоците на амортизација над износот пресметан во примена на амортизациони стапки утврдени со номенклатурата на средствата за амортизација и годишните амортизациони стапки за кои во претходниот период е извршено зголемување на даночната основа</t>
  </si>
  <si>
    <t>Износ на неисплатени надоместоци над износите утврдени во член 9 став 1 точки 2) 3-б) 4) 5) 5-а) и б), од ЗДД , за кои во претходниот период е извршено зголемување на даночната основа, доколку истите се искажани како приход</t>
  </si>
  <si>
    <t xml:space="preserve">Дивиденди остварени со учество во капиталот на друг даночен обврзник, оданочени со данок на добивка кај исплатувачот </t>
  </si>
  <si>
    <t xml:space="preserve">Дел од загуба намалена за непризнаени расходи, пренесена од претходни години </t>
  </si>
  <si>
    <t xml:space="preserve">Износ на извршени вложувања од добивката (реинвестирана) </t>
  </si>
  <si>
    <t>V.</t>
  </si>
  <si>
    <t xml:space="preserve">Даночна основа по намалување (III- IV) </t>
  </si>
  <si>
    <t>VI.</t>
  </si>
  <si>
    <t xml:space="preserve">Пресметан данок на добивка (V x 10%) </t>
  </si>
  <si>
    <t>VII.</t>
  </si>
  <si>
    <t xml:space="preserve">Намалување на пресметаниот данок на добивка (АОП40+АОП41+АОП42+АОП43) </t>
  </si>
  <si>
    <t xml:space="preserve">Намалување на данокот за вредноста на набавени и ставени во употреба до 10 фискални системи на опрема за регистрирање на готовински плаќања </t>
  </si>
  <si>
    <t xml:space="preserve">Износ на данок содржан во оданочени приходи/ добивки во странство (withholding tax) до пропишаната стапка </t>
  </si>
  <si>
    <t xml:space="preserve">Данок кој го платила подружницата во странство за добивката вклучена во приходите на матичното правно лице во Р.М. но не повеќе од износот на данокот по пропишаната стапка во ЗДД </t>
  </si>
  <si>
    <t>Износ на пресметано даночно олеснување за дадена донација утврдена во согласност со членовите 30-а и 30-б од ЗДД</t>
  </si>
  <si>
    <t>VIII.</t>
  </si>
  <si>
    <t xml:space="preserve">Пресметан данок по намалување (VI-VII) </t>
  </si>
  <si>
    <t xml:space="preserve">Платени аконтации на данокот на добивка за даночниот период </t>
  </si>
  <si>
    <t xml:space="preserve">Износ на повеќе платен данок на добивка пренесен од претходните даночни периоди </t>
  </si>
  <si>
    <t xml:space="preserve">Износ за доплата / повеќе платен износ (АОП 44 - АОП 45 - АОП 46)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</si>
</sst>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  <font>
      <b/>
      <sz val="10"/>
      <color rgb="FF786860"/>
      <name val="Arial"/>
      <family val="2"/>
      <charset val="204"/>
    </font>
    <font>
      <sz val="10"/>
      <name val="Arial"/>
      <family val="2"/>
      <charset val="204"/>
    </font>
    <font>
      <b/>
      <sz val="10"/>
      <color theme="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b/>
      <i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4" fillId="0" borderId="0"/>
    <xf numFmtId="0" fontId="10" fillId="0" borderId="0">
      <alignment vertical="top"/>
    </xf>
    <xf numFmtId="0" fontId="6" fillId="0" borderId="0"/>
  </cellStyleXfs>
  <cellXfs count="58">
    <xf numFmtId="0" fontId="0" fillId="0" borderId="0" xfId="0"/>
    <xf numFmtId="0" fontId="2" fillId="0" borderId="0" xfId="1" applyFont="1" applyFill="1" applyBorder="1"/>
    <xf numFmtId="0" fontId="2" fillId="0" borderId="0" xfId="1" applyFont="1" applyFill="1" applyBorder="1" applyAlignment="1">
      <alignment vertical="top"/>
    </xf>
    <xf numFmtId="0" fontId="2" fillId="0" borderId="0" xfId="1" applyFont="1" applyFill="1" applyBorder="1" applyAlignment="1">
      <alignment vertical="top" wrapText="1"/>
    </xf>
    <xf numFmtId="3" fontId="3" fillId="0" borderId="0" xfId="1" applyNumberFormat="1" applyFont="1" applyFill="1" applyBorder="1" applyAlignment="1">
      <alignment horizontal="center" vertical="center" wrapText="1"/>
    </xf>
    <xf numFmtId="0" fontId="2" fillId="0" borderId="0" xfId="1" applyFont="1"/>
    <xf numFmtId="0" fontId="3" fillId="0" borderId="0" xfId="2" applyFont="1" applyFill="1" applyBorder="1" applyAlignment="1">
      <alignment horizontal="center" vertical="center" wrapText="1"/>
    </xf>
    <xf numFmtId="0" fontId="3" fillId="0" borderId="0" xfId="1" applyFont="1" applyFill="1" applyBorder="1" applyAlignment="1">
      <alignment vertical="center" wrapText="1"/>
    </xf>
    <xf numFmtId="49" fontId="2" fillId="0" borderId="0" xfId="1" applyNumberFormat="1" applyFont="1" applyFill="1" applyBorder="1" applyAlignment="1">
      <alignment vertical="top" wrapText="1"/>
    </xf>
    <xf numFmtId="3" fontId="3" fillId="0" borderId="0" xfId="1" applyNumberFormat="1" applyFont="1" applyFill="1" applyBorder="1" applyAlignment="1">
      <alignment vertical="center" wrapText="1"/>
    </xf>
    <xf numFmtId="0" fontId="3" fillId="0" borderId="0" xfId="1" applyFont="1" applyFill="1" applyBorder="1" applyAlignment="1">
      <alignment horizontal="left" vertical="center"/>
    </xf>
    <xf numFmtId="3" fontId="3" fillId="0" borderId="0" xfId="1" applyNumberFormat="1" applyFont="1" applyFill="1" applyBorder="1" applyAlignment="1">
      <alignment horizontal="right" vertical="center"/>
    </xf>
    <xf numFmtId="0" fontId="3" fillId="0" borderId="0" xfId="1" applyFont="1" applyFill="1" applyBorder="1" applyAlignment="1">
      <alignment horizontal="righ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1" applyNumberFormat="1" applyFont="1" applyFill="1" applyBorder="1" applyAlignment="1">
      <alignment horizontal="left" vertical="center"/>
    </xf>
    <xf numFmtId="14" fontId="3" fillId="0" borderId="0" xfId="2" applyNumberFormat="1" applyFont="1" applyFill="1" applyBorder="1" applyAlignment="1">
      <alignment horizontal="left" vertical="center"/>
    </xf>
    <xf numFmtId="49" fontId="3" fillId="0" borderId="0" xfId="1" applyNumberFormat="1" applyFont="1" applyFill="1" applyBorder="1" applyAlignment="1">
      <alignment horizontal="left" vertical="center"/>
    </xf>
    <xf numFmtId="3" fontId="2" fillId="0" borderId="0" xfId="1" applyNumberFormat="1" applyFont="1" applyFill="1" applyBorder="1" applyAlignment="1">
      <alignment horizontal="left"/>
    </xf>
    <xf numFmtId="0" fontId="2" fillId="0" borderId="0" xfId="1" applyFont="1" applyFill="1" applyBorder="1" applyAlignment="1">
      <alignment horizontal="left"/>
    </xf>
    <xf numFmtId="0" fontId="2" fillId="0" borderId="0" xfId="1" applyFont="1" applyAlignment="1">
      <alignment horizontal="left"/>
    </xf>
    <xf numFmtId="3" fontId="2" fillId="0" borderId="0" xfId="1" applyNumberFormat="1" applyFont="1"/>
    <xf numFmtId="0" fontId="5" fillId="2" borderId="1" xfId="1" applyFont="1" applyFill="1" applyBorder="1" applyAlignment="1" applyProtection="1">
      <alignment horizontal="center"/>
    </xf>
    <xf numFmtId="0" fontId="5" fillId="2" borderId="2" xfId="1" applyFont="1" applyFill="1" applyBorder="1" applyAlignment="1" applyProtection="1">
      <alignment horizontal="center"/>
    </xf>
    <xf numFmtId="3" fontId="5" fillId="2" borderId="3" xfId="1" applyNumberFormat="1" applyFont="1" applyFill="1" applyBorder="1" applyAlignment="1" applyProtection="1">
      <alignment horizontal="center"/>
    </xf>
    <xf numFmtId="0" fontId="5" fillId="2" borderId="3" xfId="1" applyFont="1" applyFill="1" applyBorder="1" applyAlignment="1" applyProtection="1">
      <alignment horizontal="center"/>
    </xf>
    <xf numFmtId="0" fontId="5" fillId="2" borderId="1" xfId="1" applyFont="1" applyFill="1" applyBorder="1" applyAlignment="1" applyProtection="1">
      <alignment horizontal="center" vertical="center"/>
    </xf>
    <xf numFmtId="0" fontId="5" fillId="2" borderId="2" xfId="1" applyFont="1" applyFill="1" applyBorder="1" applyAlignment="1" applyProtection="1">
      <alignment horizontal="center" vertical="center"/>
    </xf>
    <xf numFmtId="3" fontId="5" fillId="2" borderId="3" xfId="1" applyNumberFormat="1" applyFont="1" applyFill="1" applyBorder="1" applyAlignment="1" applyProtection="1">
      <alignment horizontal="center" vertical="center"/>
    </xf>
    <xf numFmtId="0" fontId="5" fillId="2" borderId="3" xfId="1" applyFont="1" applyFill="1" applyBorder="1" applyAlignment="1" applyProtection="1">
      <alignment horizontal="center" vertical="center"/>
    </xf>
    <xf numFmtId="0" fontId="5" fillId="3" borderId="4" xfId="1" applyFont="1" applyFill="1" applyBorder="1" applyAlignment="1" applyProtection="1">
      <alignment horizontal="center" vertical="center"/>
    </xf>
    <xf numFmtId="0" fontId="5" fillId="3" borderId="4" xfId="1" applyFont="1" applyFill="1" applyBorder="1" applyAlignment="1" applyProtection="1"/>
    <xf numFmtId="3" fontId="5" fillId="3" borderId="4" xfId="1" applyNumberFormat="1" applyFont="1" applyFill="1" applyBorder="1" applyAlignment="1" applyProtection="1">
      <alignment horizontal="center" vertical="center"/>
    </xf>
    <xf numFmtId="3" fontId="5" fillId="3" borderId="4" xfId="1" applyNumberFormat="1" applyFont="1" applyFill="1" applyBorder="1" applyAlignment="1" applyProtection="1">
      <alignment horizontal="right" vertical="center"/>
    </xf>
    <xf numFmtId="3" fontId="7" fillId="0" borderId="4" xfId="1" applyNumberFormat="1" applyFont="1" applyBorder="1" applyAlignment="1" applyProtection="1">
      <alignment horizontal="right" vertical="center"/>
    </xf>
    <xf numFmtId="0" fontId="7" fillId="0" borderId="4" xfId="1" applyFont="1" applyBorder="1" applyAlignment="1" applyProtection="1">
      <alignment horizontal="center" vertical="center"/>
    </xf>
    <xf numFmtId="0" fontId="7" fillId="0" borderId="4" xfId="1" applyFont="1" applyBorder="1" applyAlignment="1" applyProtection="1"/>
    <xf numFmtId="3" fontId="7" fillId="0" borderId="4" xfId="1" applyNumberFormat="1" applyFont="1" applyBorder="1" applyAlignment="1" applyProtection="1">
      <alignment horizontal="center" vertical="center"/>
    </xf>
    <xf numFmtId="0" fontId="7" fillId="0" borderId="4" xfId="1" applyFont="1" applyBorder="1" applyAlignment="1" applyProtection="1">
      <alignment vertical="center" wrapText="1"/>
    </xf>
    <xf numFmtId="0" fontId="7" fillId="0" borderId="4" xfId="1" applyFont="1" applyBorder="1" applyAlignment="1" applyProtection="1">
      <alignment wrapText="1"/>
    </xf>
    <xf numFmtId="0" fontId="2" fillId="0" borderId="0" xfId="1" applyFont="1" applyAlignment="1"/>
    <xf numFmtId="3" fontId="7" fillId="0" borderId="4" xfId="1" applyNumberFormat="1" applyFont="1" applyFill="1" applyBorder="1" applyAlignment="1" applyProtection="1">
      <alignment horizontal="right" vertical="center"/>
    </xf>
    <xf numFmtId="0" fontId="2" fillId="0" borderId="4" xfId="1" applyFont="1" applyBorder="1" applyAlignment="1"/>
    <xf numFmtId="0" fontId="7" fillId="0" borderId="4" xfId="1" applyFont="1" applyBorder="1" applyAlignment="1" applyProtection="1">
      <alignment vertical="center"/>
    </xf>
    <xf numFmtId="0" fontId="8" fillId="3" borderId="4" xfId="1" applyFont="1" applyFill="1" applyBorder="1" applyAlignment="1" applyProtection="1">
      <alignment vertical="center"/>
    </xf>
    <xf numFmtId="3" fontId="8" fillId="3" borderId="4" xfId="1" applyNumberFormat="1" applyFont="1" applyFill="1" applyBorder="1" applyAlignment="1" applyProtection="1">
      <alignment horizontal="center" vertical="center"/>
    </xf>
    <xf numFmtId="0" fontId="7" fillId="0" borderId="0" xfId="1" applyFont="1" applyAlignment="1" applyProtection="1">
      <alignment horizontal="center" vertical="center"/>
    </xf>
    <xf numFmtId="0" fontId="7" fillId="0" borderId="0" xfId="1" applyFont="1" applyAlignment="1" applyProtection="1"/>
    <xf numFmtId="3" fontId="7" fillId="0" borderId="0" xfId="1" applyNumberFormat="1" applyFont="1" applyAlignment="1" applyProtection="1">
      <alignment horizontal="center" vertical="center"/>
    </xf>
    <xf numFmtId="4" fontId="9" fillId="0" borderId="0" xfId="1" applyNumberFormat="1" applyFont="1" applyAlignment="1" applyProtection="1">
      <alignment horizontal="right" vertical="center"/>
    </xf>
    <xf numFmtId="0" fontId="7" fillId="0" borderId="0" xfId="1" applyNumberFormat="1" applyFont="1" applyFill="1" applyAlignment="1" applyProtection="1">
      <alignment horizontal="center" vertical="center"/>
    </xf>
    <xf numFmtId="0" fontId="6" fillId="0" borderId="0" xfId="1" applyFont="1" applyFill="1" applyAlignment="1"/>
    <xf numFmtId="4" fontId="9" fillId="0" borderId="0" xfId="1" applyNumberFormat="1" applyFont="1" applyAlignment="1" applyProtection="1">
      <alignment horizontal="left" vertical="center"/>
    </xf>
    <xf numFmtId="0" fontId="11" fillId="0" borderId="0" xfId="3" applyNumberFormat="1" applyFont="1" applyFill="1" applyBorder="1" applyAlignment="1">
      <alignment vertical="top"/>
    </xf>
    <xf numFmtId="0" fontId="12" fillId="0" borderId="0" xfId="3" applyNumberFormat="1" applyFont="1" applyFill="1" applyBorder="1" applyAlignment="1">
      <alignment vertical="top"/>
    </xf>
    <xf numFmtId="4" fontId="7" fillId="0" borderId="0" xfId="1" applyNumberFormat="1" applyFont="1" applyAlignment="1" applyProtection="1">
      <alignment horizontal="right" vertical="center"/>
    </xf>
    <xf numFmtId="49" fontId="6" fillId="0" borderId="0" xfId="4" applyNumberFormat="1" applyFont="1" applyFill="1" applyBorder="1" applyAlignment="1"/>
    <xf numFmtId="0" fontId="13" fillId="0" borderId="0" xfId="3" applyNumberFormat="1" applyFont="1" applyFill="1" applyBorder="1" applyAlignment="1">
      <alignment vertical="top"/>
    </xf>
    <xf numFmtId="0" fontId="6" fillId="0" borderId="0" xfId="1" applyFont="1" applyFill="1" applyBorder="1" applyAlignment="1"/>
  </cellXfs>
  <cellStyles count="5">
    <cellStyle name="Normal" xfId="0" builtinId="0"/>
    <cellStyle name="Normal 11 2" xfId="4"/>
    <cellStyle name="Normal 2" xfId="1"/>
    <cellStyle name="Normal 2 2" xfId="2"/>
    <cellStyle name="Normal_RD Bucim 2008 Dani, Stefan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1173300</xdr:colOff>
      <xdr:row>1</xdr:row>
      <xdr:rowOff>115322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98116E-A4D6-44F3-9D5A-B6EC6201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767660" cy="785882"/>
        </a:xfrm>
        <a:prstGeom prst="rect">
          <a:avLst/>
        </a:prstGeom>
        <a:solidFill>
          <a:schemeClr val="bg1"/>
        </a:solidFill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AppData/Local/Microsoft/Windows/INetCache/Content.Outlook/F8S0PTLY/&#1056;&#1044;%20-%20&#1044;&#1072;&#1085;&#1086;&#1095;&#1077;&#1085;%20&#1073;&#1080;&#1083;&#1072;&#1085;&#1089;%20-%20202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Projects%202005/Teteks%20ad%20Tetovo/TETEKS%20AD,%20TETOVO_31_12_2005/MajaS_Teteks%20ad%20Tetovo_31.12.2005/70-Employee%20compensation/aba/!AS2%20Models%20of%20wp's/5340%20Accounts%20Receivable%20Tests%20GV%20da%20se%20prasa%20dali%20treba%20da%20se%20raboti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Desktop/Teteks%20Tetovo/70-Employee%20compensation/aba/!AS2%20Models%20of%20wp's/5340%20Accounts%20Receivable%20Tests%20GV%20da%20se%20prasa%20dali%20treba%20da%20se%20raboti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Media%20Print%20Makedonija/Graficki/Data/CommDoc/534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jan%20Petreski/Desktop/Prasalnici%20APT/BAza-AP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Media%20Print%20Makedonija/Graficki/RECEIVABLE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Desktop/FHL_30.09.06/73-Expenses/aba/test%20GV/test%20receivables%20FINISHED%20gv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Desktop/Teteks%20Tetovo/70-Employee%20compensation/aba/test%20GV/test%20receivables%20FINISHED%20g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Media%20Print%20Makedonija/Graficki/5340%20Accounts%20Receivable%20Test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евизорска програма"/>
      <sheetName val="Водечка табела"/>
      <sheetName val="Даночен биланс 2024"/>
      <sheetName val="Reconciliation"/>
    </sheetNames>
    <sheetDataSet>
      <sheetData sheetId="0" refreshError="1"/>
      <sheetData sheetId="1">
        <row r="2">
          <cell r="B2" t="str">
            <v>Вардар АД Градско</v>
          </cell>
        </row>
        <row r="4">
          <cell r="B4" t="str">
            <v>01.01. -31.12.2024</v>
          </cell>
        </row>
      </sheetData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Charts"/>
      <sheetName val="Recon {pbc}"/>
      <sheetName val="Confirm"/>
      <sheetName val="Allow {pbc}"/>
      <sheetName val="Statistics {pbc}"/>
      <sheetName val="Tickmarks"/>
      <sheetName val="modRollFW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Trend Data (ideally user would link this to TB)</v>
          </cell>
          <cell r="B2" t="str">
            <v>Prior -4</v>
          </cell>
          <cell r="C2" t="str">
            <v>Prior -3</v>
          </cell>
          <cell r="D2" t="str">
            <v>Prior -2</v>
          </cell>
          <cell r="E2" t="str">
            <v>Prior -1</v>
          </cell>
          <cell r="F2" t="str">
            <v>Prior</v>
          </cell>
          <cell r="G2" t="str">
            <v>Current</v>
          </cell>
        </row>
        <row r="9">
          <cell r="A9" t="str">
            <v>Allowance/ Receivables</v>
          </cell>
          <cell r="B9" t="str">
            <v>-</v>
          </cell>
          <cell r="C9" t="str">
            <v>-</v>
          </cell>
          <cell r="D9" t="str">
            <v>-</v>
          </cell>
          <cell r="E9" t="str">
            <v>-</v>
          </cell>
          <cell r="F9" t="str">
            <v>-</v>
          </cell>
          <cell r="G9" t="str">
            <v>-</v>
          </cell>
        </row>
        <row r="13">
          <cell r="A13" t="str">
            <v>Recevables Aging</v>
          </cell>
          <cell r="B13" t="str">
            <v>Prior -4</v>
          </cell>
          <cell r="C13" t="str">
            <v>Prior -3</v>
          </cell>
          <cell r="D13" t="str">
            <v>Prior -2</v>
          </cell>
          <cell r="E13" t="str">
            <v>Prior -1</v>
          </cell>
          <cell r="F13" t="str">
            <v>Prior</v>
          </cell>
          <cell r="G13" t="str">
            <v>Current</v>
          </cell>
        </row>
        <row r="22">
          <cell r="A22" t="str">
            <v>Current</v>
          </cell>
          <cell r="B22" t="str">
            <v>-</v>
          </cell>
          <cell r="C22" t="str">
            <v>-</v>
          </cell>
          <cell r="D22" t="str">
            <v>-</v>
          </cell>
          <cell r="E22" t="str">
            <v>-</v>
          </cell>
          <cell r="F22" t="str">
            <v>-</v>
          </cell>
          <cell r="G22" t="str">
            <v>-</v>
          </cell>
        </row>
        <row r="23">
          <cell r="A23" t="str">
            <v>30 - 60</v>
          </cell>
          <cell r="B23" t="str">
            <v>-</v>
          </cell>
          <cell r="C23" t="str">
            <v>-</v>
          </cell>
          <cell r="D23" t="str">
            <v>-</v>
          </cell>
          <cell r="E23" t="str">
            <v>-</v>
          </cell>
          <cell r="F23" t="str">
            <v>-</v>
          </cell>
          <cell r="G23" t="str">
            <v>-</v>
          </cell>
        </row>
        <row r="24">
          <cell r="A24" t="str">
            <v>60 - 90</v>
          </cell>
          <cell r="B24" t="str">
            <v>-</v>
          </cell>
          <cell r="C24" t="str">
            <v>-</v>
          </cell>
          <cell r="D24" t="str">
            <v>-</v>
          </cell>
          <cell r="E24" t="str">
            <v>-</v>
          </cell>
          <cell r="F24" t="str">
            <v>-</v>
          </cell>
          <cell r="G24" t="str">
            <v>-</v>
          </cell>
        </row>
        <row r="25">
          <cell r="A25" t="str">
            <v>90 -120</v>
          </cell>
          <cell r="B25" t="str">
            <v>-</v>
          </cell>
          <cell r="C25" t="str">
            <v>-</v>
          </cell>
          <cell r="D25" t="str">
            <v>-</v>
          </cell>
          <cell r="E25" t="str">
            <v>-</v>
          </cell>
          <cell r="F25" t="str">
            <v>-</v>
          </cell>
          <cell r="G25" t="str">
            <v>-</v>
          </cell>
        </row>
        <row r="26">
          <cell r="A26" t="str">
            <v>&gt; 120</v>
          </cell>
          <cell r="B26" t="str">
            <v>-</v>
          </cell>
          <cell r="C26" t="str">
            <v>-</v>
          </cell>
          <cell r="D26" t="str">
            <v>-</v>
          </cell>
          <cell r="E26" t="str">
            <v>-</v>
          </cell>
          <cell r="F26" t="str">
            <v>-</v>
          </cell>
          <cell r="G26" t="str">
            <v>-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Charts"/>
      <sheetName val="Recon {pbc}"/>
      <sheetName val="Confirm"/>
      <sheetName val="Allow {pbc}"/>
      <sheetName val="Statistics {pbc}"/>
      <sheetName val="Tickmarks"/>
      <sheetName val="modRollFW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Trend Data (ideally user would link this to TB)</v>
          </cell>
          <cell r="B2" t="str">
            <v>Prior -4</v>
          </cell>
          <cell r="C2" t="str">
            <v>Prior -3</v>
          </cell>
          <cell r="D2" t="str">
            <v>Prior -2</v>
          </cell>
          <cell r="E2" t="str">
            <v>Prior -1</v>
          </cell>
          <cell r="F2" t="str">
            <v>Prior</v>
          </cell>
          <cell r="G2" t="str">
            <v>Current</v>
          </cell>
        </row>
        <row r="8">
          <cell r="A8" t="str">
            <v>Days in Receivables</v>
          </cell>
          <cell r="B8" t="str">
            <v>-</v>
          </cell>
          <cell r="C8" t="str">
            <v>-</v>
          </cell>
          <cell r="D8" t="str">
            <v>-</v>
          </cell>
          <cell r="E8" t="str">
            <v>-</v>
          </cell>
          <cell r="F8" t="str">
            <v>-</v>
          </cell>
          <cell r="G8" t="str">
            <v>-</v>
          </cell>
        </row>
        <row r="9">
          <cell r="A9" t="str">
            <v>Allowance/ Receivables</v>
          </cell>
          <cell r="B9" t="str">
            <v>-</v>
          </cell>
          <cell r="C9" t="str">
            <v>-</v>
          </cell>
          <cell r="D9" t="str">
            <v>-</v>
          </cell>
          <cell r="E9" t="str">
            <v>-</v>
          </cell>
          <cell r="F9" t="str">
            <v>-</v>
          </cell>
          <cell r="G9" t="str">
            <v>-</v>
          </cell>
        </row>
        <row r="10">
          <cell r="A10" t="str">
            <v>Allowance/ Sales</v>
          </cell>
          <cell r="B10" t="str">
            <v>-</v>
          </cell>
          <cell r="C10" t="str">
            <v>-</v>
          </cell>
          <cell r="D10" t="str">
            <v>-</v>
          </cell>
          <cell r="E10" t="str">
            <v>-</v>
          </cell>
          <cell r="F10" t="str">
            <v>-</v>
          </cell>
          <cell r="G10" t="str">
            <v>-</v>
          </cell>
        </row>
        <row r="11">
          <cell r="A11" t="str">
            <v>Bad Debt Expense /Sales</v>
          </cell>
          <cell r="B11" t="str">
            <v>-</v>
          </cell>
          <cell r="C11" t="str">
            <v>-</v>
          </cell>
          <cell r="D11" t="str">
            <v>-</v>
          </cell>
          <cell r="E11" t="str">
            <v>-</v>
          </cell>
          <cell r="F11" t="str">
            <v>-</v>
          </cell>
          <cell r="G11" t="str">
            <v>-</v>
          </cell>
        </row>
        <row r="13">
          <cell r="A13" t="str">
            <v>Recevables Aging</v>
          </cell>
          <cell r="B13" t="str">
            <v>Prior -4</v>
          </cell>
          <cell r="C13" t="str">
            <v>Prior -3</v>
          </cell>
          <cell r="D13" t="str">
            <v>Prior -2</v>
          </cell>
          <cell r="E13" t="str">
            <v>Prior -1</v>
          </cell>
          <cell r="F13" t="str">
            <v>Prior</v>
          </cell>
          <cell r="G13" t="str">
            <v>Current</v>
          </cell>
        </row>
        <row r="22">
          <cell r="A22" t="str">
            <v>Current</v>
          </cell>
          <cell r="B22" t="str">
            <v>-</v>
          </cell>
          <cell r="C22" t="str">
            <v>-</v>
          </cell>
          <cell r="D22" t="str">
            <v>-</v>
          </cell>
          <cell r="E22" t="str">
            <v>-</v>
          </cell>
          <cell r="F22" t="str">
            <v>-</v>
          </cell>
          <cell r="G22" t="str">
            <v>-</v>
          </cell>
        </row>
        <row r="23">
          <cell r="A23" t="str">
            <v>30 - 60</v>
          </cell>
          <cell r="B23" t="str">
            <v>-</v>
          </cell>
          <cell r="C23" t="str">
            <v>-</v>
          </cell>
          <cell r="D23" t="str">
            <v>-</v>
          </cell>
          <cell r="E23" t="str">
            <v>-</v>
          </cell>
          <cell r="F23" t="str">
            <v>-</v>
          </cell>
          <cell r="G23" t="str">
            <v>-</v>
          </cell>
        </row>
        <row r="24">
          <cell r="A24" t="str">
            <v>60 - 90</v>
          </cell>
          <cell r="B24" t="str">
            <v>-</v>
          </cell>
          <cell r="C24" t="str">
            <v>-</v>
          </cell>
          <cell r="D24" t="str">
            <v>-</v>
          </cell>
          <cell r="E24" t="str">
            <v>-</v>
          </cell>
          <cell r="F24" t="str">
            <v>-</v>
          </cell>
          <cell r="G24" t="str">
            <v>-</v>
          </cell>
        </row>
        <row r="25">
          <cell r="A25" t="str">
            <v>90 -120</v>
          </cell>
          <cell r="B25" t="str">
            <v>-</v>
          </cell>
          <cell r="C25" t="str">
            <v>-</v>
          </cell>
          <cell r="D25" t="str">
            <v>-</v>
          </cell>
          <cell r="E25" t="str">
            <v>-</v>
          </cell>
          <cell r="F25" t="str">
            <v>-</v>
          </cell>
          <cell r="G25" t="str">
            <v>-</v>
          </cell>
        </row>
        <row r="26">
          <cell r="A26" t="str">
            <v>&gt; 120</v>
          </cell>
          <cell r="B26" t="str">
            <v>-</v>
          </cell>
          <cell r="C26" t="str">
            <v>-</v>
          </cell>
          <cell r="D26" t="str">
            <v>-</v>
          </cell>
          <cell r="E26" t="str">
            <v>-</v>
          </cell>
          <cell r="F26" t="str">
            <v>-</v>
          </cell>
          <cell r="G26" t="str">
            <v>-</v>
          </cell>
        </row>
      </sheetData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Charts"/>
      <sheetName val="Recon {pbc}"/>
      <sheetName val="Confirm"/>
      <sheetName val="Allow {pbc}"/>
      <sheetName val="Statistics {pbc}"/>
      <sheetName val="Tickmarks"/>
      <sheetName val="modRollFWD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>
        <row r="2">
          <cell r="A2" t="str">
            <v>Trend Data (ideally user would link this to TB)</v>
          </cell>
          <cell r="B2" t="str">
            <v>Prior -4</v>
          </cell>
          <cell r="C2" t="str">
            <v>Prior -3</v>
          </cell>
          <cell r="D2" t="str">
            <v>Prior -2</v>
          </cell>
          <cell r="E2" t="str">
            <v>Prior -1</v>
          </cell>
          <cell r="F2" t="str">
            <v>Prior</v>
          </cell>
          <cell r="G2" t="str">
            <v>Current</v>
          </cell>
        </row>
        <row r="8">
          <cell r="A8" t="str">
            <v>Days in Receivables</v>
          </cell>
          <cell r="B8" t="str">
            <v>-</v>
          </cell>
          <cell r="C8" t="str">
            <v>-</v>
          </cell>
          <cell r="D8" t="str">
            <v>-</v>
          </cell>
          <cell r="E8" t="str">
            <v>-</v>
          </cell>
          <cell r="F8" t="str">
            <v>-</v>
          </cell>
          <cell r="G8" t="str">
            <v>-</v>
          </cell>
        </row>
        <row r="9">
          <cell r="A9" t="str">
            <v>Allowance/ Receivables</v>
          </cell>
          <cell r="B9" t="str">
            <v>-</v>
          </cell>
          <cell r="C9" t="str">
            <v>-</v>
          </cell>
          <cell r="D9" t="str">
            <v>-</v>
          </cell>
          <cell r="E9" t="str">
            <v>-</v>
          </cell>
          <cell r="F9" t="str">
            <v>-</v>
          </cell>
          <cell r="G9" t="str">
            <v>-</v>
          </cell>
        </row>
        <row r="10">
          <cell r="A10" t="str">
            <v>Allowance/ Sales</v>
          </cell>
          <cell r="B10" t="str">
            <v>-</v>
          </cell>
          <cell r="C10" t="str">
            <v>-</v>
          </cell>
          <cell r="D10" t="str">
            <v>-</v>
          </cell>
          <cell r="E10" t="str">
            <v>-</v>
          </cell>
          <cell r="F10" t="str">
            <v>-</v>
          </cell>
          <cell r="G10" t="str">
            <v>-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isions"/>
      <sheetName val="GAT"/>
      <sheetName val="OSP"/>
      <sheetName val="FinancialStatementAreaOSP"/>
      <sheetName val="SAP"/>
      <sheetName val="TOC"/>
      <sheetName val="Cycle"/>
      <sheetName val="FinancialStatementArea"/>
      <sheetName val="Folder"/>
      <sheetName val="ReportDocument"/>
      <sheetName val="QuestionnaireDocument"/>
      <sheetName val="ScopingQuestionnaireDocument"/>
      <sheetName val="AuditDocument"/>
      <sheetName val="CustomFormDocument"/>
      <sheetName val="GAA"/>
      <sheetName val="Industry"/>
      <sheetName val="PickListItem"/>
      <sheetName val="WCGW"/>
      <sheetName val="CycleIndustry"/>
      <sheetName val="FinancialStatementAreaSAP"/>
      <sheetName val="FinancialStatementAreaTOC"/>
      <sheetName val="FinancialStatementAreaCycle"/>
      <sheetName val="FinancialStatementAreaIndustry"/>
      <sheetName val="FolderItemIndustry"/>
      <sheetName val="GATGAA"/>
      <sheetName val="FinancialStatementAreaWCGW"/>
      <sheetName val="WCGWIndustry"/>
      <sheetName val="AuditTestIndustry"/>
      <sheetName val="BaseData"/>
    </sheetNames>
    <sheetDataSet>
      <sheetData sheetId="0" refreshError="1"/>
      <sheetData sheetId="1" refreshError="1"/>
      <sheetData sheetId="2">
        <row r="3">
          <cell r="A3" t="str">
            <v>Core_A1_02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3">
          <cell r="A3" t="str">
            <v>Core_FSA_Accounts_Payable</v>
          </cell>
        </row>
        <row r="4">
          <cell r="A4" t="str">
            <v>Core_FSA_Accounts_Receivable</v>
          </cell>
        </row>
        <row r="5">
          <cell r="A5" t="str">
            <v>Core_FSA_Accruals</v>
          </cell>
        </row>
        <row r="6">
          <cell r="A6" t="str">
            <v>Core_FSA_Borrowings</v>
          </cell>
        </row>
        <row r="7">
          <cell r="A7" t="str">
            <v>Core_FSA_Cash_balances</v>
          </cell>
        </row>
        <row r="8">
          <cell r="A8" t="str">
            <v>Core_FSA_Consol</v>
          </cell>
        </row>
        <row r="9">
          <cell r="A9" t="str">
            <v>Core_FSA_Contin_Commit</v>
          </cell>
        </row>
        <row r="10">
          <cell r="A10" t="str">
            <v>Core_FSA_Cost_sales</v>
          </cell>
        </row>
        <row r="11">
          <cell r="A11" t="str">
            <v>Core_FSA_Deferred_charges</v>
          </cell>
        </row>
        <row r="12">
          <cell r="A12" t="str">
            <v>Core_FSA_Deferred_revenue</v>
          </cell>
        </row>
        <row r="13">
          <cell r="A13" t="str">
            <v>Core_FSA_Deriv</v>
          </cell>
        </row>
        <row r="14">
          <cell r="A14" t="str">
            <v>Core_FSA_FS</v>
          </cell>
        </row>
        <row r="15">
          <cell r="A15" t="str">
            <v>Core_FSA_GC</v>
          </cell>
        </row>
        <row r="16">
          <cell r="A16" t="str">
            <v>Core_FSA_GROUP_Balances</v>
          </cell>
        </row>
        <row r="17">
          <cell r="A17" t="str">
            <v>Core_FSA_Intangibles</v>
          </cell>
        </row>
        <row r="18">
          <cell r="A18" t="str">
            <v>Core_FSA_Interest_paid</v>
          </cell>
        </row>
        <row r="19">
          <cell r="A19" t="str">
            <v>Core_FSA_Interest_received</v>
          </cell>
        </row>
        <row r="20">
          <cell r="A20" t="str">
            <v>Core_FSA_INV_GOOD</v>
          </cell>
        </row>
        <row r="21">
          <cell r="A21" t="str">
            <v>Core_FSA_INV_RAW</v>
          </cell>
        </row>
        <row r="22">
          <cell r="A22" t="str">
            <v>Core_FSA_INV_WORK</v>
          </cell>
        </row>
        <row r="23">
          <cell r="A23" t="str">
            <v>Core_FSA_Inventories</v>
          </cell>
        </row>
        <row r="24">
          <cell r="A24" t="str">
            <v>Core_FSA_Investments</v>
          </cell>
        </row>
        <row r="25">
          <cell r="A25" t="str">
            <v>Core_FSA_Liabilities</v>
          </cell>
        </row>
        <row r="26">
          <cell r="A26" t="str">
            <v>Core_FSA_LT_receivables</v>
          </cell>
        </row>
        <row r="27">
          <cell r="A27" t="str">
            <v>Core_FSA_LT_WIP</v>
          </cell>
        </row>
        <row r="28">
          <cell r="A28" t="str">
            <v>Core_FSA_OTHER</v>
          </cell>
        </row>
        <row r="29">
          <cell r="A29" t="str">
            <v>Core_FSA_Other Inc_Exp</v>
          </cell>
        </row>
        <row r="30">
          <cell r="A30" t="str">
            <v>Core_FSA_Other_receivables</v>
          </cell>
        </row>
        <row r="31">
          <cell r="A31" t="str">
            <v>Core_FSA_Overheads</v>
          </cell>
        </row>
        <row r="32">
          <cell r="A32" t="str">
            <v>Core_FSA_Payroll_expenses</v>
          </cell>
        </row>
        <row r="33">
          <cell r="A33" t="str">
            <v>Core_FSA_Pensions</v>
          </cell>
        </row>
        <row r="34">
          <cell r="A34" t="str">
            <v>Core_FSA_PPE</v>
          </cell>
        </row>
        <row r="35">
          <cell r="A35" t="str">
            <v>Core_FSA_RPT</v>
          </cell>
        </row>
        <row r="36">
          <cell r="A36" t="str">
            <v>Core_FSA_Sales</v>
          </cell>
        </row>
        <row r="37">
          <cell r="A37" t="str">
            <v>Core_FSA_Sales_taxes</v>
          </cell>
        </row>
        <row r="38">
          <cell r="A38" t="str">
            <v>Core_FSA_SE</v>
          </cell>
        </row>
        <row r="39">
          <cell r="A39" t="str">
            <v>Core_FSA_Share</v>
          </cell>
        </row>
        <row r="40">
          <cell r="A40" t="str">
            <v>Core_FSA_ST_investments</v>
          </cell>
        </row>
        <row r="41">
          <cell r="A41" t="str">
            <v>Core_FSA_Taxation</v>
          </cell>
        </row>
        <row r="42">
          <cell r="A42" t="str">
            <v>Core_FSA_Taxation_charge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onciliation"/>
      <sheetName val="Receiv_confirm_control"/>
      <sheetName val="Receiv_circul_statistics"/>
      <sheetName val="Reconcil_receiv_confirm"/>
      <sheetName val="alowance_roll_forward"/>
      <sheetName val="Sales cutoff"/>
      <sheetName val="Credit note cutoff"/>
      <sheetName val="Tickmarks"/>
      <sheetName val="GT_Custom"/>
    </sheetNames>
    <sheetDataSet>
      <sheetData sheetId="0"/>
      <sheetData sheetId="1">
        <row r="527">
          <cell r="DL527" t="str">
            <v>INFORMATION AREA:</v>
          </cell>
        </row>
        <row r="529">
          <cell r="DL529" t="str">
            <v>Special Formats or Formulas:</v>
          </cell>
        </row>
        <row r="531">
          <cell r="DL531" t="str">
            <v>o All date columns have been formatted to the</v>
          </cell>
        </row>
        <row r="532">
          <cell r="DL532" t="str">
            <v>d-mmm-yy number format.</v>
          </cell>
        </row>
        <row r="535">
          <cell r="DL535" t="str">
            <v>Tips and Ideas:</v>
          </cell>
        </row>
        <row r="537">
          <cell r="DL537" t="str">
            <v>o This schedule uses the =COUNTA function to count</v>
          </cell>
        </row>
        <row r="538">
          <cell r="DL538" t="str">
            <v>the occurrences of each type of reply.  The</v>
          </cell>
        </row>
        <row r="539">
          <cell r="DL539" t="str">
            <v>=COUNTA function counts the number of nonempty</v>
          </cell>
        </row>
        <row r="540">
          <cell r="DL540" t="str">
            <v>cells in a range--a cell with a space character or</v>
          </cell>
        </row>
        <row r="541">
          <cell r="DL541" t="str">
            <v>the number "0" is a nonempty cell and will be</v>
          </cell>
        </row>
        <row r="542">
          <cell r="DL542" t="str">
            <v>counted.  Thus, if you want to remove the contents</v>
          </cell>
        </row>
        <row r="543">
          <cell r="DL543" t="str">
            <v>of a cell, use Edit Clear or the delete key</v>
          </cell>
        </row>
        <row r="544">
          <cell r="DL544" t="str">
            <v>instead of putting space characters or the number</v>
          </cell>
        </row>
        <row r="545">
          <cell r="DL545" t="str">
            <v>"0" in a cell.</v>
          </cell>
        </row>
        <row r="547">
          <cell r="DL547" t="str">
            <v>o Documentation symbols should not be placed</v>
          </cell>
        </row>
        <row r="548">
          <cell r="DL548" t="str">
            <v>underneath items in the "Type Of Replies" section,</v>
          </cell>
        </row>
        <row r="549">
          <cell r="DL549" t="str">
            <v>since these will be counted by the =COUNTA</v>
          </cell>
        </row>
        <row r="550">
          <cell r="DL550" t="str">
            <v>formulas.  Put all notes, tickmarks, and</v>
          </cell>
        </row>
        <row r="551">
          <cell r="DL551" t="str">
            <v>crossreferences in either the "Workpaper</v>
          </cell>
        </row>
        <row r="552">
          <cell r="DL552" t="str">
            <v>Reference" column (F) or in the documentation</v>
          </cell>
        </row>
        <row r="553">
          <cell r="DL553" t="str">
            <v>columns (H and L).</v>
          </cell>
        </row>
        <row r="555">
          <cell r="DL555" t="str">
            <v>o The footing formulas and counting formulas on</v>
          </cell>
        </row>
        <row r="556">
          <cell r="DL556" t="str">
            <v>this confirmation control will provide the</v>
          </cell>
        </row>
        <row r="557">
          <cell r="DL557" t="str">
            <v>information necessary to complete the confirmation</v>
          </cell>
        </row>
        <row r="558">
          <cell r="DL558" t="str">
            <v>statistics on the standard schedule 1B31.</v>
          </cell>
        </row>
        <row r="561">
          <cell r="DL561" t="str">
            <v>Printing:</v>
          </cell>
        </row>
        <row r="563">
          <cell r="DL563" t="str">
            <v>This schedule was designed to print on most</v>
          </cell>
        </row>
        <row r="564">
          <cell r="DL564" t="str">
            <v>printers using wide carriage computer paper (or</v>
          </cell>
        </row>
        <row r="565">
          <cell r="DL565" t="str">
            <v xml:space="preserve">legal length paper for the LaserJets). </v>
          </cell>
        </row>
        <row r="567">
          <cell r="DL567" t="str">
            <v>For faster printing ALWAYS use Draft Quality.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onsiliation GL"/>
      <sheetName val="120 circ"/>
      <sheetName val="121 circ"/>
      <sheetName val="121 forex"/>
      <sheetName val="120 unanswered"/>
      <sheetName val="121 unanswered"/>
      <sheetName val="early cutoff"/>
      <sheetName val="late cutoff"/>
      <sheetName val="aged sr."/>
      <sheetName val="Allow {pbc}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onsiliation GL"/>
      <sheetName val="120 circ"/>
      <sheetName val="121 circ"/>
      <sheetName val="121 forex"/>
      <sheetName val="120 unanswered"/>
      <sheetName val="121 unanswered"/>
      <sheetName val="early cutoff"/>
      <sheetName val="late cutoff"/>
      <sheetName val="aged sr."/>
      <sheetName val="Allow {pbc}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Charts"/>
      <sheetName val="Recon {pbc}"/>
      <sheetName val="Confirm"/>
      <sheetName val="Allow {pbc}"/>
      <sheetName val="Statistics {pbc}"/>
      <sheetName val="GT_Custom"/>
      <sheetName val="Tickmarks"/>
      <sheetName val="modRollFWD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>
        <row r="2">
          <cell r="A2" t="str">
            <v>Trend Data (ideally user would link this to TB)</v>
          </cell>
          <cell r="B2" t="str">
            <v>Prior -4</v>
          </cell>
          <cell r="C2" t="str">
            <v>Prior -3</v>
          </cell>
          <cell r="D2" t="str">
            <v>Prior -2</v>
          </cell>
          <cell r="E2" t="str">
            <v>Prior -1</v>
          </cell>
          <cell r="F2" t="str">
            <v>Prior</v>
          </cell>
          <cell r="G2" t="str">
            <v>Current</v>
          </cell>
        </row>
        <row r="10">
          <cell r="A10" t="str">
            <v>Allowance/ Sales</v>
          </cell>
          <cell r="B10" t="str">
            <v>-</v>
          </cell>
          <cell r="C10" t="str">
            <v>-</v>
          </cell>
          <cell r="D10" t="str">
            <v>-</v>
          </cell>
          <cell r="E10" t="str">
            <v>-</v>
          </cell>
          <cell r="F10" t="str">
            <v>-</v>
          </cell>
          <cell r="G10" t="str">
            <v>-</v>
          </cell>
        </row>
      </sheetData>
      <sheetData sheetId="6" refreshError="1"/>
      <sheetData sheetId="7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3"/>
  <sheetViews>
    <sheetView tabSelected="1" zoomScale="80" zoomScaleNormal="80" zoomScaleSheetLayoutView="100" workbookViewId="0">
      <selection activeCell="G12" sqref="G12"/>
    </sheetView>
  </sheetViews>
  <sheetFormatPr defaultColWidth="8.6640625" defaultRowHeight="13.2" x14ac:dyDescent="0.25"/>
  <cols>
    <col min="1" max="1" width="8.6640625" style="5"/>
    <col min="2" max="2" width="71.5546875" style="39" customWidth="1"/>
    <col min="3" max="3" width="11.44140625" style="5" customWidth="1"/>
    <col min="4" max="4" width="13.33203125" style="5" customWidth="1"/>
    <col min="5" max="5" width="12.44140625" style="5" customWidth="1"/>
    <col min="6" max="6" width="12.109375" style="5" customWidth="1"/>
    <col min="7" max="7" width="13.109375" style="5" customWidth="1"/>
    <col min="8" max="8" width="12.6640625" style="5" bestFit="1" customWidth="1"/>
    <col min="9" max="9" width="13.44140625" style="5" customWidth="1"/>
    <col min="10" max="10" width="52.6640625" style="5" bestFit="1" customWidth="1"/>
    <col min="11" max="13" width="12" style="5" customWidth="1"/>
    <col min="14" max="16384" width="8.6640625" style="5"/>
  </cols>
  <sheetData>
    <row r="1" spans="1:13" ht="52.95" customHeight="1" x14ac:dyDescent="0.25">
      <c r="A1" s="1"/>
      <c r="B1" s="2"/>
      <c r="C1" s="3"/>
      <c r="D1" s="4" t="s">
        <v>0</v>
      </c>
      <c r="E1" s="4"/>
      <c r="G1" s="6" t="s">
        <v>1</v>
      </c>
      <c r="H1" s="6"/>
      <c r="I1" s="7"/>
      <c r="K1" s="7"/>
      <c r="L1" s="7"/>
      <c r="M1" s="7"/>
    </row>
    <row r="2" spans="1:13" x14ac:dyDescent="0.25">
      <c r="A2" s="1"/>
      <c r="B2" s="2"/>
      <c r="C2" s="3"/>
      <c r="D2" s="3"/>
      <c r="E2" s="3"/>
      <c r="F2" s="3"/>
      <c r="G2" s="3"/>
      <c r="H2" s="3"/>
      <c r="I2" s="8"/>
      <c r="J2" s="1"/>
      <c r="K2" s="1"/>
      <c r="L2" s="9"/>
      <c r="M2" s="1"/>
    </row>
    <row r="3" spans="1:13" x14ac:dyDescent="0.25">
      <c r="A3" s="10" t="s">
        <v>2</v>
      </c>
      <c r="B3" s="10"/>
      <c r="C3" s="10"/>
      <c r="D3" s="11" t="s">
        <v>3</v>
      </c>
      <c r="E3" s="10"/>
      <c r="G3" s="12" t="s">
        <v>4</v>
      </c>
      <c r="H3" s="13"/>
    </row>
    <row r="4" spans="1:13" x14ac:dyDescent="0.25">
      <c r="A4" s="10" t="s">
        <v>5</v>
      </c>
      <c r="B4" s="10" t="s">
        <v>6</v>
      </c>
      <c r="C4" s="10"/>
      <c r="D4" s="11" t="s">
        <v>7</v>
      </c>
      <c r="E4" s="14"/>
      <c r="G4" s="12" t="s">
        <v>8</v>
      </c>
      <c r="H4" s="15"/>
    </row>
    <row r="5" spans="1:13" x14ac:dyDescent="0.25">
      <c r="A5" s="10" t="s">
        <v>9</v>
      </c>
      <c r="B5" s="10" t="str">
        <f>'[1]Водечка табела'!B4</f>
        <v>01.01. -31.12.2024</v>
      </c>
      <c r="C5" s="10"/>
      <c r="D5" s="10"/>
      <c r="E5" s="10"/>
      <c r="F5" s="10"/>
      <c r="G5" s="10"/>
      <c r="H5" s="10"/>
      <c r="I5" s="16"/>
      <c r="J5" s="17"/>
      <c r="K5" s="10"/>
      <c r="L5" s="10"/>
      <c r="M5" s="18"/>
    </row>
    <row r="6" spans="1:13" x14ac:dyDescent="0.25">
      <c r="A6" s="10" t="s">
        <v>10</v>
      </c>
      <c r="B6" s="10" t="s">
        <v>11</v>
      </c>
      <c r="C6" s="10"/>
      <c r="D6" s="10"/>
      <c r="E6" s="10"/>
      <c r="F6" s="10"/>
      <c r="G6" s="10"/>
      <c r="H6" s="10"/>
      <c r="I6" s="16"/>
      <c r="J6" s="17"/>
      <c r="K6" s="10"/>
      <c r="L6" s="10"/>
      <c r="M6" s="18"/>
    </row>
    <row r="7" spans="1:13" x14ac:dyDescent="0.25">
      <c r="B7" s="19"/>
      <c r="C7" s="19"/>
      <c r="D7" s="20"/>
      <c r="E7" s="20"/>
    </row>
    <row r="8" spans="1:13" x14ac:dyDescent="0.25">
      <c r="A8" s="21" t="s">
        <v>6</v>
      </c>
      <c r="B8" s="22"/>
      <c r="C8" s="23"/>
      <c r="D8" s="24"/>
    </row>
    <row r="9" spans="1:13" x14ac:dyDescent="0.25">
      <c r="A9" s="25" t="s">
        <v>12</v>
      </c>
      <c r="B9" s="26"/>
      <c r="C9" s="27"/>
      <c r="D9" s="28"/>
    </row>
    <row r="10" spans="1:13" x14ac:dyDescent="0.25">
      <c r="A10" s="29" t="s">
        <v>13</v>
      </c>
      <c r="B10" s="30" t="s">
        <v>14</v>
      </c>
      <c r="C10" s="31">
        <v>1</v>
      </c>
      <c r="D10" s="32">
        <v>1113993</v>
      </c>
    </row>
    <row r="11" spans="1:13" x14ac:dyDescent="0.25">
      <c r="A11" s="29" t="s">
        <v>15</v>
      </c>
      <c r="B11" s="30" t="s">
        <v>16</v>
      </c>
      <c r="C11" s="31">
        <v>2</v>
      </c>
      <c r="D11" s="32">
        <f>SUM(D12:D48)</f>
        <v>1085061</v>
      </c>
    </row>
    <row r="12" spans="1:13" x14ac:dyDescent="0.25">
      <c r="A12" s="34">
        <v>1</v>
      </c>
      <c r="B12" s="35" t="s">
        <v>17</v>
      </c>
      <c r="C12" s="36">
        <v>3</v>
      </c>
      <c r="D12" s="33">
        <v>0</v>
      </c>
    </row>
    <row r="13" spans="1:13" ht="26.4" x14ac:dyDescent="0.25">
      <c r="A13" s="34">
        <v>2</v>
      </c>
      <c r="B13" s="37" t="s">
        <v>18</v>
      </c>
      <c r="C13" s="36">
        <v>4</v>
      </c>
      <c r="D13" s="33">
        <v>0</v>
      </c>
    </row>
    <row r="14" spans="1:13" x14ac:dyDescent="0.25">
      <c r="A14" s="34">
        <v>3</v>
      </c>
      <c r="B14" s="35" t="s">
        <v>19</v>
      </c>
      <c r="C14" s="36">
        <v>5</v>
      </c>
      <c r="D14" s="33">
        <v>0</v>
      </c>
    </row>
    <row r="15" spans="1:13" x14ac:dyDescent="0.25">
      <c r="A15" s="34">
        <v>4</v>
      </c>
      <c r="B15" s="35" t="s">
        <v>20</v>
      </c>
      <c r="C15" s="36">
        <v>6</v>
      </c>
      <c r="D15" s="33">
        <v>0</v>
      </c>
    </row>
    <row r="16" spans="1:13" ht="26.4" x14ac:dyDescent="0.25">
      <c r="A16" s="34">
        <v>5</v>
      </c>
      <c r="B16" s="38" t="s">
        <v>21</v>
      </c>
      <c r="C16" s="36">
        <v>7</v>
      </c>
      <c r="D16" s="33">
        <v>0</v>
      </c>
    </row>
    <row r="17" spans="1:4" x14ac:dyDescent="0.25">
      <c r="A17" s="34">
        <v>6</v>
      </c>
      <c r="B17" s="39" t="s">
        <v>22</v>
      </c>
      <c r="C17" s="36">
        <v>8</v>
      </c>
      <c r="D17" s="33">
        <v>0</v>
      </c>
    </row>
    <row r="18" spans="1:4" ht="26.4" x14ac:dyDescent="0.25">
      <c r="A18" s="34">
        <v>7</v>
      </c>
      <c r="B18" s="38" t="s">
        <v>23</v>
      </c>
      <c r="C18" s="36">
        <v>9</v>
      </c>
      <c r="D18" s="33">
        <v>0</v>
      </c>
    </row>
    <row r="19" spans="1:4" x14ac:dyDescent="0.25">
      <c r="A19" s="34">
        <v>8</v>
      </c>
      <c r="B19" s="35" t="s">
        <v>24</v>
      </c>
      <c r="C19" s="36">
        <v>10</v>
      </c>
      <c r="D19" s="33">
        <v>0</v>
      </c>
    </row>
    <row r="20" spans="1:4" x14ac:dyDescent="0.25">
      <c r="A20" s="34">
        <v>9</v>
      </c>
      <c r="B20" s="39" t="s">
        <v>25</v>
      </c>
      <c r="C20" s="36">
        <v>11</v>
      </c>
      <c r="D20" s="33">
        <v>0</v>
      </c>
    </row>
    <row r="21" spans="1:4" x14ac:dyDescent="0.25">
      <c r="A21" s="34">
        <v>10</v>
      </c>
      <c r="B21" s="35" t="s">
        <v>26</v>
      </c>
      <c r="C21" s="36">
        <v>12</v>
      </c>
      <c r="D21" s="40">
        <v>0</v>
      </c>
    </row>
    <row r="22" spans="1:4" x14ac:dyDescent="0.25">
      <c r="A22" s="34">
        <v>11</v>
      </c>
      <c r="B22" s="35" t="s">
        <v>27</v>
      </c>
      <c r="C22" s="36">
        <v>13</v>
      </c>
      <c r="D22" s="33">
        <v>0</v>
      </c>
    </row>
    <row r="23" spans="1:4" x14ac:dyDescent="0.25">
      <c r="A23" s="34">
        <v>12</v>
      </c>
      <c r="B23" s="39" t="s">
        <v>28</v>
      </c>
      <c r="C23" s="36">
        <v>14</v>
      </c>
      <c r="D23" s="33">
        <v>0</v>
      </c>
    </row>
    <row r="24" spans="1:4" x14ac:dyDescent="0.25">
      <c r="A24" s="34">
        <v>13</v>
      </c>
      <c r="B24" s="37" t="s">
        <v>29</v>
      </c>
      <c r="C24" s="36">
        <v>15</v>
      </c>
      <c r="D24" s="33">
        <v>926867</v>
      </c>
    </row>
    <row r="25" spans="1:4" x14ac:dyDescent="0.25">
      <c r="A25" s="34">
        <v>14</v>
      </c>
      <c r="B25" s="35" t="s">
        <v>30</v>
      </c>
      <c r="C25" s="36">
        <v>16</v>
      </c>
      <c r="D25" s="33">
        <v>0</v>
      </c>
    </row>
    <row r="26" spans="1:4" x14ac:dyDescent="0.25">
      <c r="A26" s="34">
        <v>15</v>
      </c>
      <c r="B26" s="35" t="s">
        <v>31</v>
      </c>
      <c r="C26" s="36">
        <v>17</v>
      </c>
      <c r="D26" s="33">
        <v>0</v>
      </c>
    </row>
    <row r="27" spans="1:4" x14ac:dyDescent="0.25">
      <c r="A27" s="34">
        <v>16</v>
      </c>
      <c r="B27" s="35" t="s">
        <v>32</v>
      </c>
      <c r="C27" s="36">
        <v>18</v>
      </c>
      <c r="D27" s="33">
        <v>0</v>
      </c>
    </row>
    <row r="28" spans="1:4" x14ac:dyDescent="0.25">
      <c r="A28" s="34">
        <v>17</v>
      </c>
      <c r="B28" s="35" t="s">
        <v>33</v>
      </c>
      <c r="C28" s="36">
        <v>19</v>
      </c>
      <c r="D28" s="33">
        <v>0</v>
      </c>
    </row>
    <row r="29" spans="1:4" x14ac:dyDescent="0.25">
      <c r="A29" s="34">
        <v>18</v>
      </c>
      <c r="B29" s="35" t="s">
        <v>34</v>
      </c>
      <c r="C29" s="36">
        <v>20</v>
      </c>
      <c r="D29" s="33">
        <v>0</v>
      </c>
    </row>
    <row r="30" spans="1:4" ht="26.4" x14ac:dyDescent="0.25">
      <c r="A30" s="34">
        <v>19</v>
      </c>
      <c r="B30" s="38" t="s">
        <v>35</v>
      </c>
      <c r="C30" s="36">
        <v>21</v>
      </c>
      <c r="D30" s="33">
        <v>0</v>
      </c>
    </row>
    <row r="31" spans="1:4" ht="26.4" x14ac:dyDescent="0.25">
      <c r="A31" s="34">
        <v>20</v>
      </c>
      <c r="B31" s="38" t="s">
        <v>36</v>
      </c>
      <c r="C31" s="36">
        <v>22</v>
      </c>
      <c r="D31" s="33">
        <v>0</v>
      </c>
    </row>
    <row r="32" spans="1:4" x14ac:dyDescent="0.25">
      <c r="A32" s="34">
        <v>21</v>
      </c>
      <c r="B32" s="35" t="s">
        <v>37</v>
      </c>
      <c r="C32" s="36">
        <v>23</v>
      </c>
      <c r="D32" s="40">
        <v>0</v>
      </c>
    </row>
    <row r="33" spans="1:4" x14ac:dyDescent="0.25">
      <c r="A33" s="34">
        <v>22</v>
      </c>
      <c r="B33" s="35" t="s">
        <v>38</v>
      </c>
      <c r="C33" s="36">
        <v>24</v>
      </c>
      <c r="D33" s="40">
        <v>0</v>
      </c>
    </row>
    <row r="34" spans="1:4" x14ac:dyDescent="0.25">
      <c r="A34" s="34">
        <v>23</v>
      </c>
      <c r="B34" s="35" t="s">
        <v>39</v>
      </c>
      <c r="C34" s="36">
        <v>25</v>
      </c>
      <c r="D34" s="40">
        <v>0</v>
      </c>
    </row>
    <row r="35" spans="1:4" x14ac:dyDescent="0.25">
      <c r="A35" s="34">
        <v>24</v>
      </c>
      <c r="B35" s="41" t="s">
        <v>40</v>
      </c>
      <c r="C35" s="36">
        <v>26</v>
      </c>
      <c r="D35" s="40">
        <v>0</v>
      </c>
    </row>
    <row r="36" spans="1:4" x14ac:dyDescent="0.25">
      <c r="A36" s="34">
        <v>25</v>
      </c>
      <c r="B36" s="41" t="s">
        <v>41</v>
      </c>
      <c r="C36" s="36">
        <v>27</v>
      </c>
      <c r="D36" s="40">
        <v>0</v>
      </c>
    </row>
    <row r="37" spans="1:4" x14ac:dyDescent="0.25">
      <c r="A37" s="34">
        <v>26</v>
      </c>
      <c r="B37" s="41" t="s">
        <v>42</v>
      </c>
      <c r="C37" s="36">
        <v>28</v>
      </c>
      <c r="D37" s="40">
        <v>0</v>
      </c>
    </row>
    <row r="38" spans="1:4" x14ac:dyDescent="0.25">
      <c r="A38" s="34">
        <v>27</v>
      </c>
      <c r="B38" s="41" t="s">
        <v>43</v>
      </c>
      <c r="C38" s="36">
        <v>29</v>
      </c>
      <c r="D38" s="40">
        <v>0</v>
      </c>
    </row>
    <row r="39" spans="1:4" x14ac:dyDescent="0.25">
      <c r="A39" s="34">
        <v>28</v>
      </c>
      <c r="B39" s="41" t="s">
        <v>44</v>
      </c>
      <c r="C39" s="36">
        <v>30</v>
      </c>
      <c r="D39" s="40">
        <v>0</v>
      </c>
    </row>
    <row r="40" spans="1:4" x14ac:dyDescent="0.25">
      <c r="A40" s="34">
        <v>29</v>
      </c>
      <c r="B40" s="39" t="s">
        <v>45</v>
      </c>
      <c r="C40" s="36">
        <v>31</v>
      </c>
      <c r="D40" s="40">
        <v>0</v>
      </c>
    </row>
    <row r="41" spans="1:4" x14ac:dyDescent="0.25">
      <c r="A41" s="34">
        <v>30</v>
      </c>
      <c r="B41" s="35" t="s">
        <v>46</v>
      </c>
      <c r="C41" s="36">
        <v>32</v>
      </c>
      <c r="D41" s="40">
        <v>0</v>
      </c>
    </row>
    <row r="42" spans="1:4" x14ac:dyDescent="0.25">
      <c r="A42" s="34">
        <v>31</v>
      </c>
      <c r="B42" s="35" t="s">
        <v>47</v>
      </c>
      <c r="C42" s="36">
        <v>33</v>
      </c>
      <c r="D42" s="40">
        <v>0</v>
      </c>
    </row>
    <row r="43" spans="1:4" x14ac:dyDescent="0.25">
      <c r="A43" s="34">
        <v>32</v>
      </c>
      <c r="B43" s="35" t="s">
        <v>48</v>
      </c>
      <c r="C43" s="36">
        <v>34</v>
      </c>
      <c r="D43" s="40">
        <v>0</v>
      </c>
    </row>
    <row r="44" spans="1:4" x14ac:dyDescent="0.25">
      <c r="A44" s="34">
        <v>33</v>
      </c>
      <c r="B44" s="35" t="s">
        <v>49</v>
      </c>
      <c r="C44" s="36">
        <v>35</v>
      </c>
      <c r="D44" s="40">
        <v>0</v>
      </c>
    </row>
    <row r="45" spans="1:4" x14ac:dyDescent="0.25">
      <c r="A45" s="34">
        <v>34</v>
      </c>
      <c r="B45" s="35" t="s">
        <v>50</v>
      </c>
      <c r="C45" s="36">
        <v>36</v>
      </c>
      <c r="D45" s="40">
        <v>0</v>
      </c>
    </row>
    <row r="46" spans="1:4" x14ac:dyDescent="0.25">
      <c r="A46" s="34">
        <v>35</v>
      </c>
      <c r="B46" s="35" t="s">
        <v>51</v>
      </c>
      <c r="C46" s="36">
        <v>37</v>
      </c>
      <c r="D46" s="40">
        <v>0</v>
      </c>
    </row>
    <row r="47" spans="1:4" x14ac:dyDescent="0.25">
      <c r="A47" s="34">
        <v>36</v>
      </c>
      <c r="B47" s="35" t="s">
        <v>52</v>
      </c>
      <c r="C47" s="36">
        <v>38</v>
      </c>
      <c r="D47" s="40">
        <v>0</v>
      </c>
    </row>
    <row r="48" spans="1:4" x14ac:dyDescent="0.25">
      <c r="A48" s="34">
        <v>37</v>
      </c>
      <c r="B48" s="42" t="s">
        <v>53</v>
      </c>
      <c r="C48" s="36">
        <v>39</v>
      </c>
      <c r="D48" s="40">
        <v>158194</v>
      </c>
    </row>
    <row r="49" spans="1:4" x14ac:dyDescent="0.25">
      <c r="A49" s="29" t="s">
        <v>54</v>
      </c>
      <c r="B49" s="30" t="s">
        <v>55</v>
      </c>
      <c r="C49" s="31">
        <v>40</v>
      </c>
      <c r="D49" s="32">
        <f>D10+D11</f>
        <v>2199054</v>
      </c>
    </row>
    <row r="50" spans="1:4" x14ac:dyDescent="0.25">
      <c r="A50" s="29" t="s">
        <v>56</v>
      </c>
      <c r="B50" s="30" t="s">
        <v>57</v>
      </c>
      <c r="C50" s="31">
        <v>41</v>
      </c>
      <c r="D50" s="32">
        <f>SUM(D51:D57)</f>
        <v>0</v>
      </c>
    </row>
    <row r="51" spans="1:4" ht="26.4" x14ac:dyDescent="0.25">
      <c r="A51" s="34">
        <v>38</v>
      </c>
      <c r="B51" s="38" t="s">
        <v>58</v>
      </c>
      <c r="C51" s="36">
        <v>42</v>
      </c>
      <c r="D51" s="33">
        <v>0</v>
      </c>
    </row>
    <row r="52" spans="1:4" x14ac:dyDescent="0.25">
      <c r="A52" s="34">
        <v>39</v>
      </c>
      <c r="B52" s="35" t="s">
        <v>59</v>
      </c>
      <c r="C52" s="36">
        <v>43</v>
      </c>
      <c r="D52" s="33">
        <v>0</v>
      </c>
    </row>
    <row r="53" spans="1:4" x14ac:dyDescent="0.25">
      <c r="A53" s="34">
        <v>40</v>
      </c>
      <c r="B53" s="35" t="s">
        <v>60</v>
      </c>
      <c r="C53" s="36">
        <v>44</v>
      </c>
      <c r="D53" s="33">
        <v>0</v>
      </c>
    </row>
    <row r="54" spans="1:4" x14ac:dyDescent="0.25">
      <c r="A54" s="34">
        <v>41</v>
      </c>
      <c r="B54" s="35" t="s">
        <v>61</v>
      </c>
      <c r="C54" s="36">
        <v>45</v>
      </c>
      <c r="D54" s="33">
        <v>0</v>
      </c>
    </row>
    <row r="55" spans="1:4" x14ac:dyDescent="0.25">
      <c r="A55" s="34">
        <v>42</v>
      </c>
      <c r="B55" s="35" t="s">
        <v>62</v>
      </c>
      <c r="C55" s="36">
        <v>46</v>
      </c>
      <c r="D55" s="33">
        <v>0</v>
      </c>
    </row>
    <row r="56" spans="1:4" x14ac:dyDescent="0.25">
      <c r="A56" s="34">
        <v>43</v>
      </c>
      <c r="B56" s="35" t="s">
        <v>63</v>
      </c>
      <c r="C56" s="36">
        <v>47</v>
      </c>
      <c r="D56" s="33">
        <v>0</v>
      </c>
    </row>
    <row r="57" spans="1:4" x14ac:dyDescent="0.25">
      <c r="A57" s="34">
        <v>44</v>
      </c>
      <c r="B57" s="35" t="s">
        <v>64</v>
      </c>
      <c r="C57" s="36">
        <v>48</v>
      </c>
      <c r="D57" s="33">
        <v>0</v>
      </c>
    </row>
    <row r="58" spans="1:4" x14ac:dyDescent="0.25">
      <c r="A58" s="29" t="s">
        <v>65</v>
      </c>
      <c r="B58" s="30" t="s">
        <v>66</v>
      </c>
      <c r="C58" s="31">
        <v>49</v>
      </c>
      <c r="D58" s="32">
        <f>D49-D50</f>
        <v>2199054</v>
      </c>
    </row>
    <row r="59" spans="1:4" x14ac:dyDescent="0.25">
      <c r="A59" s="29" t="s">
        <v>67</v>
      </c>
      <c r="B59" s="30" t="s">
        <v>68</v>
      </c>
      <c r="C59" s="31">
        <v>50</v>
      </c>
      <c r="D59" s="32">
        <f>IF(D58&lt;0,0,D58*10/100)</f>
        <v>219905.4</v>
      </c>
    </row>
    <row r="60" spans="1:4" x14ac:dyDescent="0.25">
      <c r="A60" s="29" t="s">
        <v>69</v>
      </c>
      <c r="B60" s="30" t="s">
        <v>70</v>
      </c>
      <c r="C60" s="31">
        <v>51</v>
      </c>
      <c r="D60" s="32">
        <f>SUM(D61:D64)</f>
        <v>0</v>
      </c>
    </row>
    <row r="61" spans="1:4" x14ac:dyDescent="0.25">
      <c r="A61" s="34">
        <v>45</v>
      </c>
      <c r="B61" s="35" t="s">
        <v>71</v>
      </c>
      <c r="C61" s="36">
        <v>52</v>
      </c>
      <c r="D61" s="33">
        <v>0</v>
      </c>
    </row>
    <row r="62" spans="1:4" x14ac:dyDescent="0.25">
      <c r="A62" s="34">
        <v>46</v>
      </c>
      <c r="B62" s="35" t="s">
        <v>72</v>
      </c>
      <c r="C62" s="36">
        <v>53</v>
      </c>
      <c r="D62" s="33">
        <v>0</v>
      </c>
    </row>
    <row r="63" spans="1:4" x14ac:dyDescent="0.25">
      <c r="A63" s="34">
        <v>47</v>
      </c>
      <c r="B63" s="35" t="s">
        <v>73</v>
      </c>
      <c r="C63" s="36">
        <v>54</v>
      </c>
      <c r="D63" s="33">
        <v>0</v>
      </c>
    </row>
    <row r="64" spans="1:4" x14ac:dyDescent="0.25">
      <c r="A64" s="34">
        <v>48</v>
      </c>
      <c r="B64" s="35" t="s">
        <v>74</v>
      </c>
      <c r="C64" s="36">
        <v>55</v>
      </c>
      <c r="D64" s="33">
        <v>0</v>
      </c>
    </row>
    <row r="65" spans="1:10" x14ac:dyDescent="0.25">
      <c r="A65" s="29" t="s">
        <v>75</v>
      </c>
      <c r="B65" s="30" t="s">
        <v>76</v>
      </c>
      <c r="C65" s="31">
        <v>56</v>
      </c>
      <c r="D65" s="32">
        <f>D59-D60</f>
        <v>219905.4</v>
      </c>
    </row>
    <row r="66" spans="1:10" x14ac:dyDescent="0.25">
      <c r="A66" s="34">
        <v>49</v>
      </c>
      <c r="B66" s="35" t="s">
        <v>77</v>
      </c>
      <c r="C66" s="36">
        <v>57</v>
      </c>
      <c r="D66" s="33">
        <v>1219509</v>
      </c>
    </row>
    <row r="67" spans="1:10" x14ac:dyDescent="0.25">
      <c r="A67" s="34">
        <v>50</v>
      </c>
      <c r="B67" s="35" t="s">
        <v>78</v>
      </c>
      <c r="C67" s="36">
        <v>58</v>
      </c>
      <c r="D67" s="33">
        <v>0</v>
      </c>
    </row>
    <row r="68" spans="1:10" x14ac:dyDescent="0.25">
      <c r="A68" s="34">
        <v>51</v>
      </c>
      <c r="B68" s="35" t="s">
        <v>79</v>
      </c>
      <c r="C68" s="36">
        <v>59</v>
      </c>
      <c r="D68" s="33">
        <f>D65-D66-D67</f>
        <v>-999603.6</v>
      </c>
    </row>
    <row r="69" spans="1:10" x14ac:dyDescent="0.25">
      <c r="A69" s="43"/>
      <c r="B69" s="43"/>
      <c r="C69" s="44"/>
      <c r="D69" s="43"/>
    </row>
    <row r="70" spans="1:10" x14ac:dyDescent="0.25">
      <c r="A70" s="45"/>
      <c r="B70" s="46"/>
      <c r="C70" s="47"/>
      <c r="D70" s="48"/>
      <c r="E70" s="49"/>
      <c r="F70" s="50"/>
      <c r="G70" s="46"/>
      <c r="H70" s="46"/>
      <c r="I70" s="50"/>
    </row>
    <row r="71" spans="1:10" x14ac:dyDescent="0.25">
      <c r="A71" s="45"/>
      <c r="B71" s="46"/>
      <c r="C71" s="47"/>
      <c r="D71" s="51"/>
      <c r="E71" s="49"/>
      <c r="F71" s="50"/>
      <c r="G71" s="46"/>
      <c r="H71" s="46"/>
      <c r="I71" s="50"/>
    </row>
    <row r="72" spans="1:10" x14ac:dyDescent="0.25">
      <c r="A72" s="45"/>
      <c r="B72" s="52"/>
      <c r="C72" s="47"/>
      <c r="D72" s="51"/>
      <c r="E72" s="49"/>
      <c r="F72" s="50"/>
      <c r="G72" s="46"/>
      <c r="H72" s="46"/>
      <c r="I72" s="50"/>
    </row>
    <row r="73" spans="1:10" x14ac:dyDescent="0.25">
      <c r="A73" s="45"/>
      <c r="B73" s="53"/>
      <c r="C73" s="47"/>
      <c r="D73" s="54"/>
      <c r="E73" s="49"/>
      <c r="F73" s="50"/>
      <c r="G73" s="46"/>
      <c r="H73" s="46"/>
      <c r="I73" s="50"/>
    </row>
    <row r="74" spans="1:10" x14ac:dyDescent="0.25">
      <c r="A74" s="45"/>
      <c r="B74" s="53"/>
      <c r="C74" s="47"/>
      <c r="D74" s="54"/>
      <c r="E74" s="49"/>
      <c r="F74" s="50"/>
      <c r="G74" s="46"/>
      <c r="H74" s="46"/>
      <c r="I74" s="50"/>
    </row>
    <row r="75" spans="1:10" x14ac:dyDescent="0.25">
      <c r="A75" s="45"/>
      <c r="B75" s="53"/>
      <c r="C75" s="47"/>
      <c r="D75" s="54"/>
      <c r="E75" s="49"/>
      <c r="F75" s="50"/>
      <c r="G75" s="46"/>
      <c r="H75" s="46"/>
      <c r="I75" s="50"/>
    </row>
    <row r="76" spans="1:10" x14ac:dyDescent="0.25">
      <c r="A76" s="45"/>
      <c r="B76" s="53"/>
      <c r="C76" s="47"/>
      <c r="D76" s="54"/>
      <c r="E76" s="49"/>
      <c r="F76" s="50"/>
      <c r="G76" s="46"/>
      <c r="H76" s="46"/>
      <c r="I76" s="50"/>
    </row>
    <row r="77" spans="1:10" x14ac:dyDescent="0.25">
      <c r="A77" s="45"/>
      <c r="B77" s="55"/>
      <c r="C77" s="47"/>
      <c r="D77" s="54"/>
      <c r="E77" s="49"/>
      <c r="F77" s="50"/>
      <c r="G77" s="46"/>
      <c r="H77" s="46"/>
      <c r="I77" s="50"/>
    </row>
    <row r="78" spans="1:10" x14ac:dyDescent="0.25">
      <c r="A78" s="45"/>
      <c r="B78" s="52"/>
      <c r="C78" s="47"/>
      <c r="D78" s="54"/>
      <c r="E78" s="49"/>
      <c r="F78" s="50"/>
      <c r="G78" s="46"/>
      <c r="H78" s="46"/>
      <c r="I78" s="50"/>
    </row>
    <row r="79" spans="1:10" x14ac:dyDescent="0.25">
      <c r="B79" s="56"/>
      <c r="D79" s="47"/>
      <c r="E79" s="54"/>
      <c r="F79" s="49"/>
      <c r="G79" s="50"/>
      <c r="H79" s="50"/>
      <c r="I79" s="46"/>
      <c r="J79" s="50"/>
    </row>
    <row r="80" spans="1:10" x14ac:dyDescent="0.25">
      <c r="B80" s="55"/>
      <c r="D80" s="47"/>
      <c r="E80" s="54"/>
      <c r="F80" s="49"/>
      <c r="G80" s="50"/>
      <c r="H80" s="50"/>
      <c r="I80" s="46"/>
      <c r="J80" s="50"/>
    </row>
    <row r="81" spans="2:10" x14ac:dyDescent="0.25">
      <c r="B81" s="52"/>
      <c r="D81" s="47"/>
      <c r="E81" s="54"/>
      <c r="F81" s="49"/>
      <c r="G81" s="50"/>
      <c r="H81" s="50"/>
      <c r="I81" s="46"/>
      <c r="J81" s="50"/>
    </row>
    <row r="82" spans="2:10" x14ac:dyDescent="0.25">
      <c r="B82" s="55"/>
      <c r="D82" s="47"/>
      <c r="E82" s="54"/>
      <c r="F82" s="49"/>
      <c r="G82" s="50"/>
      <c r="H82" s="50"/>
      <c r="I82" s="46"/>
      <c r="J82" s="50"/>
    </row>
    <row r="83" spans="2:10" x14ac:dyDescent="0.25">
      <c r="B83" s="55"/>
      <c r="D83" s="47"/>
      <c r="E83" s="54"/>
      <c r="F83" s="49"/>
      <c r="G83" s="50"/>
      <c r="H83" s="50"/>
      <c r="I83" s="46"/>
      <c r="J83" s="50"/>
    </row>
    <row r="84" spans="2:10" x14ac:dyDescent="0.25">
      <c r="B84" s="52"/>
      <c r="D84" s="47"/>
      <c r="E84" s="54"/>
      <c r="F84" s="49"/>
      <c r="G84" s="50"/>
      <c r="H84" s="50"/>
      <c r="I84" s="46"/>
      <c r="J84" s="50"/>
    </row>
    <row r="85" spans="2:10" x14ac:dyDescent="0.25">
      <c r="B85" s="53"/>
      <c r="D85" s="47"/>
      <c r="E85" s="54"/>
      <c r="F85" s="49"/>
      <c r="G85" s="50"/>
      <c r="H85" s="50"/>
      <c r="I85" s="46"/>
      <c r="J85" s="50"/>
    </row>
    <row r="86" spans="2:10" x14ac:dyDescent="0.25">
      <c r="B86" s="55"/>
      <c r="D86" s="47"/>
      <c r="E86" s="54"/>
      <c r="F86" s="49"/>
      <c r="G86" s="50"/>
      <c r="H86" s="50"/>
      <c r="I86" s="46"/>
      <c r="J86" s="50"/>
    </row>
    <row r="87" spans="2:10" x14ac:dyDescent="0.25">
      <c r="B87" s="55"/>
      <c r="D87" s="47"/>
      <c r="E87" s="54"/>
      <c r="F87" s="49"/>
      <c r="G87" s="50"/>
      <c r="H87" s="50"/>
      <c r="I87" s="46"/>
      <c r="J87" s="50"/>
    </row>
    <row r="88" spans="2:10" x14ac:dyDescent="0.25">
      <c r="B88" s="52"/>
      <c r="D88" s="47"/>
      <c r="E88" s="54"/>
      <c r="F88" s="49"/>
      <c r="G88" s="50"/>
      <c r="H88" s="50"/>
      <c r="I88" s="46"/>
      <c r="J88" s="50"/>
    </row>
    <row r="89" spans="2:10" x14ac:dyDescent="0.25">
      <c r="B89" s="53"/>
      <c r="D89" s="47"/>
      <c r="E89" s="54"/>
      <c r="F89" s="49"/>
      <c r="G89" s="50"/>
      <c r="H89" s="50"/>
      <c r="I89" s="46"/>
      <c r="J89" s="50"/>
    </row>
    <row r="90" spans="2:10" x14ac:dyDescent="0.25">
      <c r="B90" s="55"/>
      <c r="D90" s="47"/>
      <c r="E90" s="54"/>
      <c r="F90" s="49"/>
      <c r="G90" s="50"/>
      <c r="H90" s="50"/>
      <c r="I90" s="46"/>
      <c r="J90" s="50"/>
    </row>
    <row r="91" spans="2:10" x14ac:dyDescent="0.25">
      <c r="B91" s="55"/>
      <c r="D91" s="47"/>
      <c r="E91" s="54"/>
      <c r="F91" s="49"/>
      <c r="G91" s="50"/>
      <c r="H91" s="50"/>
      <c r="I91" s="46"/>
      <c r="J91" s="50"/>
    </row>
    <row r="92" spans="2:10" x14ac:dyDescent="0.25">
      <c r="B92" s="52"/>
      <c r="D92" s="47"/>
      <c r="E92" s="54"/>
      <c r="F92" s="49"/>
      <c r="G92" s="50"/>
      <c r="H92" s="50"/>
      <c r="I92" s="46"/>
      <c r="J92" s="50"/>
    </row>
    <row r="93" spans="2:10" x14ac:dyDescent="0.25">
      <c r="B93" s="53"/>
      <c r="D93" s="47"/>
      <c r="E93" s="54"/>
      <c r="F93" s="49"/>
      <c r="G93" s="50"/>
      <c r="H93" s="50"/>
      <c r="I93" s="46"/>
      <c r="J93" s="50"/>
    </row>
    <row r="94" spans="2:10" x14ac:dyDescent="0.25">
      <c r="B94" s="57"/>
      <c r="D94" s="47"/>
      <c r="E94" s="54"/>
      <c r="F94" s="49"/>
      <c r="G94" s="50"/>
      <c r="H94" s="50"/>
      <c r="I94" s="46"/>
      <c r="J94" s="50"/>
    </row>
    <row r="95" spans="2:10" x14ac:dyDescent="0.25">
      <c r="B95" s="45"/>
      <c r="C95" s="46"/>
      <c r="D95" s="47"/>
      <c r="E95" s="54"/>
      <c r="F95" s="49"/>
      <c r="G95" s="50"/>
      <c r="H95" s="50"/>
      <c r="I95" s="46"/>
      <c r="J95" s="50"/>
    </row>
    <row r="96" spans="2:10" x14ac:dyDescent="0.25">
      <c r="B96" s="45"/>
      <c r="C96" s="46"/>
      <c r="D96" s="47"/>
      <c r="E96" s="54"/>
      <c r="F96" s="49"/>
      <c r="G96" s="50"/>
      <c r="H96" s="50"/>
      <c r="I96" s="46"/>
      <c r="J96" s="50"/>
    </row>
    <row r="97" spans="2:10" x14ac:dyDescent="0.25">
      <c r="B97" s="45"/>
      <c r="C97" s="46"/>
      <c r="D97" s="47"/>
      <c r="E97" s="54"/>
      <c r="F97" s="49"/>
      <c r="G97" s="50"/>
      <c r="H97" s="50"/>
      <c r="I97" s="46"/>
      <c r="J97" s="50"/>
    </row>
    <row r="98" spans="2:10" x14ac:dyDescent="0.25">
      <c r="B98" s="45"/>
      <c r="C98" s="46"/>
      <c r="D98" s="47"/>
      <c r="E98" s="54"/>
      <c r="F98" s="49"/>
      <c r="G98" s="50"/>
      <c r="H98" s="50"/>
      <c r="I98" s="46"/>
      <c r="J98" s="50"/>
    </row>
    <row r="99" spans="2:10" x14ac:dyDescent="0.25">
      <c r="B99" s="45"/>
      <c r="C99" s="46"/>
      <c r="D99" s="47"/>
      <c r="E99" s="54"/>
      <c r="F99" s="49"/>
      <c r="G99" s="50"/>
      <c r="H99" s="50"/>
      <c r="I99" s="46"/>
      <c r="J99" s="50"/>
    </row>
    <row r="100" spans="2:10" x14ac:dyDescent="0.25">
      <c r="B100" s="45"/>
      <c r="C100" s="46"/>
      <c r="D100" s="47"/>
      <c r="E100" s="54"/>
      <c r="F100" s="49"/>
      <c r="G100" s="50"/>
      <c r="H100" s="50"/>
      <c r="I100" s="46"/>
      <c r="J100" s="50"/>
    </row>
    <row r="101" spans="2:10" x14ac:dyDescent="0.25">
      <c r="B101" s="45"/>
      <c r="C101" s="46"/>
      <c r="D101" s="47"/>
      <c r="E101" s="54"/>
      <c r="F101" s="49"/>
      <c r="G101" s="50"/>
      <c r="H101" s="50"/>
      <c r="I101" s="46"/>
      <c r="J101" s="50"/>
    </row>
    <row r="102" spans="2:10" x14ac:dyDescent="0.25">
      <c r="B102" s="45"/>
      <c r="C102" s="46"/>
      <c r="D102" s="47"/>
      <c r="E102" s="54"/>
      <c r="F102" s="49"/>
      <c r="G102" s="50"/>
      <c r="H102" s="50"/>
      <c r="I102" s="46"/>
      <c r="J102" s="50"/>
    </row>
    <row r="103" spans="2:10" x14ac:dyDescent="0.25">
      <c r="B103" s="45"/>
      <c r="C103" s="46"/>
      <c r="D103" s="47"/>
      <c r="E103" s="54"/>
      <c r="F103" s="49"/>
      <c r="G103" s="50"/>
      <c r="H103" s="50"/>
      <c r="I103" s="46"/>
      <c r="J103" s="50"/>
    </row>
    <row r="104" spans="2:10" x14ac:dyDescent="0.25">
      <c r="B104" s="45"/>
      <c r="C104" s="46"/>
      <c r="D104" s="47"/>
      <c r="E104" s="54"/>
      <c r="F104" s="49"/>
      <c r="G104" s="50"/>
      <c r="H104" s="50"/>
      <c r="I104" s="46"/>
      <c r="J104" s="50"/>
    </row>
    <row r="105" spans="2:10" x14ac:dyDescent="0.25">
      <c r="B105" s="45"/>
      <c r="C105" s="46"/>
      <c r="D105" s="47"/>
      <c r="E105" s="54"/>
      <c r="F105" s="49"/>
      <c r="G105" s="50"/>
      <c r="H105" s="50"/>
      <c r="I105" s="46"/>
      <c r="J105" s="50"/>
    </row>
    <row r="106" spans="2:10" x14ac:dyDescent="0.25">
      <c r="B106" s="45"/>
      <c r="C106" s="46"/>
      <c r="D106" s="47"/>
      <c r="E106" s="54"/>
      <c r="F106" s="49"/>
      <c r="G106" s="50"/>
      <c r="H106" s="50"/>
      <c r="I106" s="46"/>
      <c r="J106" s="50"/>
    </row>
    <row r="107" spans="2:10" x14ac:dyDescent="0.25">
      <c r="B107" s="45"/>
      <c r="C107" s="46"/>
      <c r="D107" s="47"/>
      <c r="E107" s="54"/>
      <c r="F107" s="49"/>
      <c r="G107" s="50"/>
      <c r="H107" s="50"/>
      <c r="I107" s="46"/>
      <c r="J107" s="50"/>
    </row>
    <row r="108" spans="2:10" x14ac:dyDescent="0.25">
      <c r="B108" s="45"/>
      <c r="C108" s="46"/>
      <c r="D108" s="47"/>
      <c r="E108" s="54"/>
      <c r="F108" s="49"/>
      <c r="G108" s="50"/>
      <c r="H108" s="50"/>
      <c r="I108" s="46"/>
      <c r="J108" s="50"/>
    </row>
    <row r="109" spans="2:10" x14ac:dyDescent="0.25">
      <c r="B109" s="45"/>
      <c r="C109" s="46"/>
      <c r="D109" s="47"/>
      <c r="E109" s="54"/>
      <c r="F109" s="49"/>
      <c r="G109" s="50"/>
      <c r="H109" s="50"/>
      <c r="I109" s="46"/>
      <c r="J109" s="50"/>
    </row>
    <row r="110" spans="2:10" x14ac:dyDescent="0.25">
      <c r="B110" s="45"/>
      <c r="C110" s="46"/>
      <c r="D110" s="47"/>
      <c r="E110" s="54"/>
      <c r="F110" s="49"/>
      <c r="G110" s="50"/>
      <c r="H110" s="50"/>
      <c r="I110" s="46"/>
      <c r="J110" s="50"/>
    </row>
    <row r="111" spans="2:10" x14ac:dyDescent="0.25">
      <c r="B111" s="45"/>
      <c r="C111" s="46"/>
      <c r="D111" s="47"/>
      <c r="E111" s="54"/>
      <c r="F111" s="49"/>
      <c r="G111" s="50"/>
      <c r="H111" s="50"/>
      <c r="I111" s="46"/>
      <c r="J111" s="50"/>
    </row>
    <row r="112" spans="2:10" x14ac:dyDescent="0.25">
      <c r="B112" s="45"/>
      <c r="C112" s="46"/>
      <c r="D112" s="47"/>
      <c r="E112" s="54"/>
      <c r="F112" s="49"/>
      <c r="G112" s="50"/>
      <c r="H112" s="50"/>
      <c r="I112" s="46"/>
      <c r="J112" s="50"/>
    </row>
    <row r="113" spans="2:10" x14ac:dyDescent="0.25">
      <c r="B113" s="45"/>
      <c r="C113" s="46"/>
      <c r="D113" s="47"/>
      <c r="E113" s="54"/>
      <c r="F113" s="49"/>
      <c r="G113" s="50"/>
      <c r="H113" s="50"/>
      <c r="I113" s="46"/>
      <c r="J113" s="50"/>
    </row>
    <row r="114" spans="2:10" x14ac:dyDescent="0.25">
      <c r="B114" s="45"/>
      <c r="C114" s="46"/>
      <c r="D114" s="47"/>
      <c r="E114" s="54"/>
      <c r="F114" s="49"/>
      <c r="G114" s="50"/>
      <c r="H114" s="50"/>
      <c r="I114" s="46"/>
      <c r="J114" s="50"/>
    </row>
    <row r="115" spans="2:10" x14ac:dyDescent="0.25">
      <c r="B115" s="45"/>
      <c r="C115" s="46"/>
      <c r="D115" s="47"/>
      <c r="E115" s="54"/>
      <c r="F115" s="49"/>
      <c r="G115" s="50"/>
      <c r="H115" s="50"/>
      <c r="I115" s="46"/>
      <c r="J115" s="50"/>
    </row>
    <row r="116" spans="2:10" x14ac:dyDescent="0.25">
      <c r="B116" s="45"/>
      <c r="C116" s="46"/>
      <c r="D116" s="47"/>
      <c r="E116" s="54"/>
      <c r="F116" s="49"/>
      <c r="G116" s="50"/>
      <c r="H116" s="50"/>
      <c r="I116" s="46"/>
      <c r="J116" s="50"/>
    </row>
    <row r="117" spans="2:10" x14ac:dyDescent="0.25">
      <c r="B117" s="45"/>
      <c r="C117" s="46"/>
      <c r="D117" s="47"/>
      <c r="E117" s="54"/>
      <c r="F117" s="49"/>
      <c r="G117" s="50"/>
      <c r="H117" s="50"/>
      <c r="I117" s="46"/>
      <c r="J117" s="50"/>
    </row>
    <row r="118" spans="2:10" x14ac:dyDescent="0.25">
      <c r="B118" s="45"/>
      <c r="C118" s="46"/>
      <c r="D118" s="47"/>
      <c r="E118" s="54"/>
      <c r="F118" s="49"/>
      <c r="G118" s="50"/>
      <c r="H118" s="50"/>
      <c r="I118" s="46"/>
      <c r="J118" s="50"/>
    </row>
    <row r="119" spans="2:10" x14ac:dyDescent="0.25">
      <c r="B119" s="45"/>
      <c r="C119" s="46"/>
      <c r="D119" s="47"/>
      <c r="E119" s="54"/>
      <c r="F119" s="49"/>
      <c r="G119" s="50"/>
      <c r="H119" s="50"/>
      <c r="I119" s="46"/>
      <c r="J119" s="50"/>
    </row>
    <row r="120" spans="2:10" x14ac:dyDescent="0.25">
      <c r="B120" s="45"/>
      <c r="C120" s="46"/>
      <c r="D120" s="47"/>
      <c r="E120" s="54"/>
      <c r="F120" s="49"/>
      <c r="G120" s="50"/>
      <c r="H120" s="50"/>
      <c r="I120" s="46"/>
      <c r="J120" s="50"/>
    </row>
    <row r="121" spans="2:10" x14ac:dyDescent="0.25">
      <c r="B121" s="45"/>
      <c r="C121" s="46"/>
      <c r="D121" s="47"/>
      <c r="E121" s="54"/>
      <c r="F121" s="49"/>
      <c r="G121" s="50"/>
      <c r="H121" s="50"/>
      <c r="I121" s="46"/>
      <c r="J121" s="50"/>
    </row>
    <row r="122" spans="2:10" x14ac:dyDescent="0.25">
      <c r="B122" s="45"/>
      <c r="C122" s="46"/>
      <c r="D122" s="47"/>
      <c r="E122" s="54"/>
      <c r="F122" s="49"/>
      <c r="G122" s="50"/>
      <c r="H122" s="50"/>
      <c r="I122" s="46"/>
      <c r="J122" s="50"/>
    </row>
    <row r="123" spans="2:10" x14ac:dyDescent="0.25">
      <c r="B123" s="45"/>
      <c r="C123" s="46"/>
      <c r="D123" s="47"/>
      <c r="E123" s="54"/>
      <c r="F123" s="49"/>
      <c r="G123" s="50"/>
      <c r="H123" s="50"/>
      <c r="I123" s="46"/>
      <c r="J123" s="50"/>
    </row>
    <row r="124" spans="2:10" x14ac:dyDescent="0.25">
      <c r="B124" s="45"/>
      <c r="C124" s="46"/>
      <c r="D124" s="47"/>
      <c r="E124" s="54"/>
      <c r="F124" s="49"/>
      <c r="G124" s="50"/>
      <c r="H124" s="50"/>
      <c r="I124" s="46"/>
      <c r="J124" s="50"/>
    </row>
    <row r="125" spans="2:10" x14ac:dyDescent="0.25">
      <c r="B125" s="45"/>
      <c r="C125" s="46"/>
      <c r="D125" s="47"/>
      <c r="E125" s="54"/>
      <c r="F125" s="49"/>
      <c r="G125" s="50"/>
      <c r="H125" s="50"/>
      <c r="I125" s="46"/>
      <c r="J125" s="50"/>
    </row>
    <row r="126" spans="2:10" x14ac:dyDescent="0.25">
      <c r="B126" s="45"/>
      <c r="C126" s="46"/>
      <c r="D126" s="47"/>
      <c r="E126" s="54"/>
      <c r="F126" s="49"/>
      <c r="G126" s="50"/>
      <c r="H126" s="50"/>
      <c r="I126" s="46"/>
      <c r="J126" s="50"/>
    </row>
    <row r="127" spans="2:10" x14ac:dyDescent="0.25">
      <c r="B127" s="45"/>
      <c r="C127" s="46"/>
      <c r="D127" s="47"/>
      <c r="E127" s="54"/>
      <c r="F127" s="49"/>
      <c r="G127" s="50"/>
      <c r="H127" s="50"/>
      <c r="I127" s="46"/>
      <c r="J127" s="50"/>
    </row>
    <row r="128" spans="2:10" x14ac:dyDescent="0.25">
      <c r="B128" s="45"/>
      <c r="C128" s="46"/>
      <c r="D128" s="47"/>
      <c r="E128" s="54"/>
      <c r="F128" s="49"/>
      <c r="G128" s="50"/>
      <c r="H128" s="50"/>
      <c r="I128" s="46"/>
      <c r="J128" s="50"/>
    </row>
    <row r="129" spans="2:10" x14ac:dyDescent="0.25">
      <c r="B129" s="45"/>
      <c r="C129" s="46"/>
      <c r="D129" s="47"/>
      <c r="E129" s="54"/>
      <c r="F129" s="49"/>
      <c r="G129" s="50"/>
      <c r="H129" s="50"/>
      <c r="I129" s="46"/>
      <c r="J129" s="50"/>
    </row>
    <row r="130" spans="2:10" x14ac:dyDescent="0.25">
      <c r="B130" s="45"/>
      <c r="C130" s="46"/>
      <c r="D130" s="47"/>
      <c r="E130" s="54"/>
      <c r="F130" s="49"/>
      <c r="G130" s="50"/>
      <c r="H130" s="50"/>
      <c r="I130" s="46"/>
      <c r="J130" s="50"/>
    </row>
    <row r="131" spans="2:10" x14ac:dyDescent="0.25">
      <c r="B131" s="45"/>
      <c r="C131" s="46"/>
      <c r="D131" s="47"/>
      <c r="E131" s="54"/>
      <c r="F131" s="49"/>
      <c r="G131" s="50"/>
      <c r="H131" s="50"/>
      <c r="I131" s="46"/>
      <c r="J131" s="50"/>
    </row>
    <row r="132" spans="2:10" x14ac:dyDescent="0.25">
      <c r="B132" s="45"/>
      <c r="C132" s="46"/>
      <c r="D132" s="47"/>
      <c r="E132" s="54"/>
      <c r="F132" s="49"/>
      <c r="G132" s="50"/>
      <c r="H132" s="50"/>
      <c r="I132" s="46"/>
      <c r="J132" s="50"/>
    </row>
    <row r="133" spans="2:10" x14ac:dyDescent="0.25">
      <c r="B133" s="45"/>
      <c r="C133" s="46"/>
      <c r="D133" s="47"/>
      <c r="E133" s="54"/>
      <c r="F133" s="49"/>
      <c r="G133" s="50"/>
      <c r="H133" s="50"/>
      <c r="I133" s="46"/>
      <c r="J133" s="50"/>
    </row>
  </sheetData>
  <mergeCells count="2">
    <mergeCell ref="D1:E1"/>
    <mergeCell ref="G1:H1"/>
  </mergeCells>
  <pageMargins left="0.7" right="0.7" top="0.75" bottom="0.75" header="0.3" footer="0.3"/>
  <pageSetup paperSize="9" scale="43" orientation="portrait" horizontalDpi="4294967293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Даночен биланс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2026-02-03T09:33:12Z</dcterms:created>
  <dcterms:modified xsi:type="dcterms:W3CDTF">2026-02-03T09:37:28Z</dcterms:modified>
</cp:coreProperties>
</file>